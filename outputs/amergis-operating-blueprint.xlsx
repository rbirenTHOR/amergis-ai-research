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1.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2.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3.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4.xml" ContentType="application/vnd.openxmlformats-officedocument.spreadsheetml.comments+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b0f2f5d1994404" /></Relationships>
</file>

<file path=xl/workbook.xml><?xml version="1.0" encoding="utf-8"?>
<x:workbook xmlns:x="http://schemas.openxmlformats.org/spreadsheetml/2006/main">
  <x:sheets>
    <x:sheet xmlns:r="http://schemas.openxmlformats.org/officeDocument/2006/relationships" name="Summary" sheetId="1" r:id="R3efcfb297cce48e3"/>
    <x:sheet xmlns:r="http://schemas.openxmlformats.org/officeDocument/2006/relationships" name="Agent tasks" sheetId="2" r:id="R6019417cc4b74730"/>
    <x:sheet xmlns:r="http://schemas.openxmlformats.org/officeDocument/2006/relationships" name="Implementation review" sheetId="3" r:id="R78c2672e83ab4386"/>
    <x:sheet xmlns:r="http://schemas.openxmlformats.org/officeDocument/2006/relationships" name="Task evidence" sheetId="4" r:id="R1ce84a6718ae4fc9"/>
    <x:sheet xmlns:r="http://schemas.openxmlformats.org/officeDocument/2006/relationships" name="Role catalog" sheetId="5" r:id="R8d05474b07674545"/>
    <x:sheet xmlns:r="http://schemas.openxmlformats.org/officeDocument/2006/relationships" name="Contract rules" sheetId="6" r:id="R18c6dbf47c3a42e6"/>
    <x:sheet xmlns:r="http://schemas.openxmlformats.org/officeDocument/2006/relationships" name="Contract catalog" sheetId="7" r:id="R9538353dd8194e70"/>
  </x:sheets>
</x:workbook>
</file>

<file path=xl/comments1.xml><?xml version="1.0" encoding="utf-8"?>
<x:comments xmlns:x="http://schemas.openxmlformats.org/spreadsheetml/2006/main">
  <x:authors>
    <x:author/>
  </x:authors>
  <x:commentList>
    <x:comment ref="H6" authorId="0">
      <x:text>
        <x:r>
          <x:t>13443814
Source: https://www.amergis.com/job/994669-national-recruitment-manager-columbia-md/
Retrieved: October 20, 2026</x:t>
        </x:r>
      </x:text>
    </x:comment>
    <x:comment ref="H7" authorId="0">
      <x:text>
        <x:r>
          <x:t>13949270
Source: https://www.amergis.com/job/997943-education-recruiter-virginia-beach-va/
Retrieved: October 20, 2026</x:t>
        </x:r>
      </x:text>
    </x:comment>
    <x:comment ref="H8" authorId="0">
      <x:text>
        <x:r>
          <x:t>13443814
Source: https://www.amergis.com/job/994669-national-recruitment-manager-columbia-md/
Retrieved: October 20, 2026</x:t>
        </x:r>
      </x:text>
    </x:comment>
    <x:comment ref="H9" authorId="0">
      <x:text>
        <x:r>
          <x:t>13443814
Source: https://www.amergis.com/job/994669-national-recruitment-manager-columbia-md/
Retrieved: October 20, 2026</x:t>
        </x:r>
      </x:text>
    </x:comment>
    <x:comment ref="H10" authorId="0">
      <x:text>
        <x:r>
          <x:t>13443814
Source: https://www.amergis.com/job/994669-national-recruitment-manager-columbia-md/
13949270
Source: https://www.amergis.com/job/997943-education-recruiter-virginia-beach-va/
Retrieved: October 20, 2026</x:t>
        </x:r>
      </x:text>
    </x:comment>
    <x:comment ref="H11" authorId="0">
      <x:text>
        <x:r>
          <x:t>13443814
Source: https://www.amergis.com/job/994669-national-recruitment-manager-columbia-md/
Retrieved: October 20, 2026</x:t>
        </x:r>
      </x:text>
    </x:comment>
    <x:comment ref="H12" authorId="0">
      <x:text>
        <x:r>
          <x:t>13949270
Source: https://www.amergis.com/job/997943-education-recruiter-virginia-beach-va/
16859748
Source: https://www.amergis.com/job/1011156-national-recruitment-manager-trainee-tampa-fl/
Retrieved: October 20, 2026</x:t>
        </x:r>
      </x:text>
    </x:comment>
    <x:comment ref="H13" authorId="0">
      <x:text>
        <x:r>
          <x:t>12754069
Source: https://www.amergis.com/job/993081-rn-clinical-education-and-quality-improvement-lead-pueblo-co/
Retrieved: October 20, 2026</x:t>
        </x:r>
      </x:text>
    </x:comment>
    <x:comment ref="H14" authorId="0">
      <x:text>
        <x:r>
          <x:t>12754069
Source: https://www.amergis.com/job/993081-rn-clinical-education-and-quality-improvement-lead-pueblo-co/
Retrieved: October 20, 2026</x:t>
        </x:r>
      </x:text>
    </x:comment>
    <x:comment ref="H15" authorId="0">
      <x:text>
        <x:r>
          <x:t>12754069
Source: https://www.amergis.com/job/993081-rn-clinical-education-and-quality-improvement-lead-pueblo-co/
Retrieved: October 20, 2026</x:t>
        </x:r>
      </x:text>
    </x:comment>
    <x:comment ref="H16" authorId="0">
      <x:text>
        <x:r>
          <x:t>12754069
Source: https://www.amergis.com/job/993081-rn-clinical-education-and-quality-improvement-lead-pueblo-co/
Retrieved: October 20, 2026</x:t>
        </x:r>
      </x:text>
    </x:comment>
    <x:comment ref="H17" authorId="0">
      <x:text>
        <x:r>
          <x:t>13964420
Source: https://www.amergis.com/job/997367-program-manager-grand-rapids-mi/
Retrieved: October 20, 2026</x:t>
        </x:r>
      </x:text>
    </x:comment>
    <x:comment ref="H18" authorId="0">
      <x:text>
        <x:r>
          <x:t>13964420
Source: https://www.amergis.com/job/997367-program-manager-grand-rapids-mi/
Retrieved: October 20, 2026</x:t>
        </x:r>
      </x:text>
    </x:comment>
    <x:comment ref="H19" authorId="0">
      <x:text>
        <x:r>
          <x:t>15448969
Source: https://www.amergis.com/job/1004937-reimbursement-specialist-columbia-md/
Retrieved: October 20, 2026</x:t>
        </x:r>
      </x:text>
    </x:comment>
    <x:comment ref="H20" authorId="0">
      <x:text>
        <x:r>
          <x:t>15448969
Source: https://www.amergis.com/job/1004937-reimbursement-specialist-columbia-md/
Retrieved: October 20, 2026</x:t>
        </x:r>
      </x:text>
    </x:comment>
    <x:comment ref="H21" authorId="0">
      <x:text>
        <x:r>
          <x:t>15448969
Source: https://www.amergis.com/job/1004937-reimbursement-specialist-columbia-md/
Retrieved: October 20, 2026</x:t>
        </x:r>
      </x:text>
    </x:comment>
    <x:comment ref="H22" authorId="0">
      <x:text>
        <x:r>
          <x:t>15448969
Source: https://www.amergis.com/job/1004937-reimbursement-specialist-columbia-md/
Retrieved: October 20, 2026</x:t>
        </x:r>
      </x:text>
    </x:comment>
    <x:comment ref="H23" authorId="0">
      <x:text>
        <x:r>
          <x:t>15448969
Source: https://www.amergis.com/job/1004937-reimbursement-specialist-columbia-md/
Retrieved: October 20, 2026</x:t>
        </x:r>
      </x:text>
    </x:comment>
    <x:comment ref="H24" authorId="0">
      <x:text>
        <x:r>
          <x:t>16123425
Source: https://www.amergis.com/job/1008639-workers-compensation-claims-examiner-columbia-md/
Retrieved: October 20, 2026</x:t>
        </x:r>
      </x:text>
    </x:comment>
    <x:comment ref="H25" authorId="0">
      <x:text>
        <x:r>
          <x:t>16123425
Source: https://www.amergis.com/job/1008639-workers-compensation-claims-examiner-columbia-md/
Retrieved: October 20, 2026</x:t>
        </x:r>
      </x:text>
    </x:comment>
    <x:comment ref="H26" authorId="0">
      <x:text>
        <x:r>
          <x:t>16123425
Source: https://www.amergis.com/job/1008639-workers-compensation-claims-examiner-columbia-md/
Retrieved: October 20, 2026</x:t>
        </x:r>
      </x:text>
    </x:comment>
    <x:comment ref="H27" authorId="0">
      <x:text>
        <x:r>
          <x:t>16333575
Source: https://www.amergis.com/job/1009078-communications-specialist-columbia-md/
Retrieved: October 20, 2026</x:t>
        </x:r>
      </x:text>
    </x:comment>
    <x:comment ref="H28" authorId="0">
      <x:text>
        <x:r>
          <x:t>16333575
Source: https://www.amergis.com/job/1009078-communications-specialist-columbia-md/
Retrieved: October 20, 2026</x:t>
        </x:r>
      </x:text>
    </x:comment>
    <x:comment ref="H29" authorId="0">
      <x:text>
        <x:r>
          <x:t>16333575
Source: https://www.amergis.com/job/1009078-communications-specialist-columbia-md/
Retrieved: October 20, 2026</x:t>
        </x:r>
      </x:text>
    </x:comment>
    <x:comment ref="H30" authorId="0">
      <x:text>
        <x:r>
          <x:t>16409763
Source: https://www.amergis.com/job/1009562-operation-support-manager-sb-columbia-md/
Retrieved: October 20, 2026</x:t>
        </x:r>
      </x:text>
    </x:comment>
    <x:comment ref="H31" authorId="0">
      <x:text>
        <x:r>
          <x:t>16409763
Source: https://www.amergis.com/job/1009562-operation-support-manager-sb-columbia-md/
Retrieved: October 20, 2026</x:t>
        </x:r>
      </x:text>
    </x:comment>
    <x:comment ref="H32" authorId="0">
      <x:text>
        <x:r>
          <x:t>16409763
Source: https://www.amergis.com/job/1009562-operation-support-manager-sb-columbia-md/
Retrieved: October 20, 2026</x:t>
        </x:r>
      </x:text>
    </x:comment>
    <x:comment ref="H33" authorId="0">
      <x:text>
        <x:r>
          <x:t>16466209
Source: https://www.amergis.com/job/1004246-financial-analyst-ii-corporate-columbia-md/
Retrieved: October 20, 2026</x:t>
        </x:r>
      </x:text>
    </x:comment>
    <x:comment ref="H34" authorId="0">
      <x:text>
        <x:r>
          <x:t>16466209
Source: https://www.amergis.com/job/1004246-financial-analyst-ii-corporate-columbia-md/
Retrieved: October 20, 2026</x:t>
        </x:r>
      </x:text>
    </x:comment>
    <x:comment ref="H35" authorId="0">
      <x:text>
        <x:r>
          <x:t>16594915
Source: https://www.amergis.com/job/1010420-business-development-manager-melville-ny/
Retrieved: October 20, 2026</x:t>
        </x:r>
      </x:text>
    </x:comment>
    <x:comment ref="H36" authorId="0">
      <x:text>
        <x:r>
          <x:t>16594915
Source: https://www.amergis.com/job/1010420-business-development-manager-melville-ny/
Retrieved: October 20, 2026</x:t>
        </x:r>
      </x:text>
    </x:comment>
    <x:comment ref="H37" authorId="0">
      <x:text>
        <x:r>
          <x:t>16594915
Source: https://www.amergis.com/job/1010420-business-development-manager-melville-ny/
Retrieved: October 20, 2026</x:t>
        </x:r>
      </x:text>
    </x:comment>
    <x:comment ref="H38" authorId="0">
      <x:text>
        <x:r>
          <x:t>16594915
Source: https://www.amergis.com/job/1010420-business-development-manager-melville-ny/
Retrieved: October 20, 2026</x:t>
        </x:r>
      </x:text>
    </x:comment>
    <x:comment ref="H39" authorId="0">
      <x:text>
        <x:r>
          <x:t>16790213
Source: https://www.amergis.com/job/1010729-program-specialist-phoenix-az/
Retrieved: October 20, 2026</x:t>
        </x:r>
      </x:text>
    </x:comment>
    <x:comment ref="H40" authorId="0">
      <x:text>
        <x:r>
          <x:t>16790213
Source: https://www.amergis.com/job/1010729-program-specialist-phoenix-az/
Retrieved: October 20, 2026</x:t>
        </x:r>
      </x:text>
    </x:comment>
    <x:comment ref="H41" authorId="0">
      <x:text>
        <x:r>
          <x:t>16795654
Source: https://www.amergis.com/job/1010810-director-of-business-development-sunburst-columbia-md/
Retrieved: October 20, 2026</x:t>
        </x:r>
      </x:text>
    </x:comment>
    <x:comment ref="H42" authorId="0">
      <x:text>
        <x:r>
          <x:t>16795654
Source: https://www.amergis.com/job/1010810-director-of-business-development-sunburst-columbia-md/
Retrieved: October 20, 2026</x:t>
        </x:r>
      </x:text>
    </x:comment>
    <x:comment ref="H43" authorId="0">
      <x:text>
        <x:r>
          <x:t>16803893
Source: https://www.amergis.com/job/1010914-network-engineer-ii-columbia-md/
Retrieved: October 20, 2026</x:t>
        </x:r>
      </x:text>
    </x:comment>
    <x:comment ref="H44" authorId="0">
      <x:text>
        <x:r>
          <x:t>16803893
Source: https://www.amergis.com/job/1010914-network-engineer-ii-columbia-md/
Retrieved: October 20, 2026</x:t>
        </x:r>
      </x:text>
    </x:comment>
    <x:comment ref="H45" authorId="0">
      <x:text>
        <x:r>
          <x:t>16986252
Source: https://www.amergis.com/job/1011782-implementation-specialist-sunburst-phoenix-az/
Retrieved: October 20, 2026</x:t>
        </x:r>
      </x:text>
    </x:comment>
    <x:comment ref="H46" authorId="0">
      <x:text>
        <x:r>
          <x:t>16986252
Source: https://www.amergis.com/job/1011782-implementation-specialist-sunburst-phoenix-az/
Retrieved: October 20, 2026</x:t>
        </x:r>
      </x:text>
    </x:comment>
    <x:comment ref="H47" authorId="0">
      <x:text>
        <x:r>
          <x:t>16986252
Source: https://www.amergis.com/job/1011782-implementation-specialist-sunburst-phoenix-az/
Retrieved: October 20, 2026</x:t>
        </x:r>
      </x:text>
    </x:comment>
    <x:comment ref="H48" authorId="0">
      <x:text>
        <x:r>
          <x:t>16986252
Source: https://www.amergis.com/job/1011782-implementation-specialist-sunburst-phoenix-az/
Retrieved: October 20, 2026</x:t>
        </x:r>
      </x:text>
    </x:comment>
    <x:comment ref="H49" authorId="0">
      <x:text>
        <x:r>
          <x:t>16989237
Source: https://www.amergis.com/job/1011784-compliance-manager-sunburst-workforce-advisors-phoenix-az/
Retrieved: October 20, 2026</x:t>
        </x:r>
      </x:text>
    </x:comment>
    <x:comment ref="H50" authorId="0">
      <x:text>
        <x:r>
          <x:t>16989237
Source: https://www.amergis.com/job/1011784-compliance-manager-sunburst-workforce-advisors-phoenix-az/
Retrieved: October 20, 2026</x:t>
        </x:r>
      </x:text>
    </x:comment>
    <x:comment ref="H51" authorId="0">
      <x:text>
        <x:r>
          <x:t>16989237
Source: https://www.amergis.com/job/1011784-compliance-manager-sunburst-workforce-advisors-phoenix-az/
Retrieved: October 20, 2026</x:t>
        </x:r>
      </x:text>
    </x:comment>
    <x:comment ref="H52" authorId="0">
      <x:text>
        <x:r>
          <x:t>17018584
Source: https://www.amergis.com/job/997152-finance-operations-manager-columbia-md/
Retrieved: October 20, 2026</x:t>
        </x:r>
      </x:text>
    </x:comment>
    <x:comment ref="H53" authorId="0">
      <x:text>
        <x:r>
          <x:t>17018584
Source: https://www.amergis.com/job/997152-finance-operations-manager-columbia-md/
Retrieved: October 20, 2026</x:t>
        </x:r>
      </x:text>
    </x:comment>
    <x:comment ref="H54" authorId="0">
      <x:text>
        <x:r>
          <x:t>17018584
Source: https://www.amergis.com/job/997152-finance-operations-manager-columbia-md/
Retrieved: October 20, 2026</x:t>
        </x:r>
      </x:text>
    </x:comment>
    <x:comment ref="H55" authorId="0">
      <x:text>
        <x:r>
          <x:t>17389206
Source: https://www.amergis.com/job/1012985-fsm-customer-service-team-columbia-md/
Retrieved: October 20, 2026</x:t>
        </x:r>
      </x:text>
    </x:comment>
    <x:comment ref="H56" authorId="0">
      <x:text>
        <x:r>
          <x:t>17389206
Source: https://www.amergis.com/job/1012985-fsm-customer-service-team-columbia-md/
Retrieved: October 20, 2026</x:t>
        </x:r>
      </x:text>
    </x:comment>
    <x:comment ref="H57" authorId="0">
      <x:text>
        <x:r>
          <x:t>17389206
Source: https://www.amergis.com/job/1012985-fsm-customer-service-team-columbia-md/
Retrieved: October 20, 2026</x:t>
        </x:r>
      </x:text>
    </x:comment>
    <x:comment ref="H58" authorId="0">
      <x:text>
        <x:r>
          <x:t>17389206
Source: https://www.amergis.com/job/1012985-fsm-customer-service-team-columbia-md/
Retrieved: October 20, 2026</x:t>
        </x:r>
      </x:text>
    </x:comment>
    <x:comment ref="H59" authorId="0">
      <x:text>
        <x:r>
          <x:t>17389206
Source: https://www.amergis.com/job/1012985-fsm-customer-service-team-columbia-md/
Retrieved: October 20, 2026</x:t>
        </x:r>
      </x:text>
    </x:comment>
    <x:comment ref="H60" authorId="0">
      <x:text>
        <x:r>
          <x:t>17394822
Source: https://www.amergis.com/job/1013175-content-marketing-specialist-ii-columbia-md/
Retrieved: October 20, 2026</x:t>
        </x:r>
      </x:text>
    </x:comment>
    <x:comment ref="H61" authorId="0">
      <x:text>
        <x:r>
          <x:t>17394822
Source: https://www.amergis.com/job/1013175-content-marketing-specialist-ii-columbia-md/
Retrieved: October 20, 2026</x:t>
        </x:r>
      </x:text>
    </x:comment>
    <x:comment ref="H62" authorId="0">
      <x:text>
        <x:r>
          <x:t>17394822
Source: https://www.amergis.com/job/1013175-content-marketing-specialist-ii-columbia-md/
Retrieved: October 20, 2026</x:t>
        </x:r>
      </x:text>
    </x:comment>
    <x:comment ref="H63" authorId="0">
      <x:text>
        <x:r>
          <x:t>17460641
Source: https://www.amergis.com/job/1013529-desktop-support-specialist-columbia-md/
Retrieved: October 20, 2026</x:t>
        </x:r>
      </x:text>
    </x:comment>
    <x:comment ref="H64" authorId="0">
      <x:text>
        <x:r>
          <x:t>17460641
Source: https://www.amergis.com/job/1013529-desktop-support-specialist-columbia-md/
Retrieved: October 20, 2026</x:t>
        </x:r>
      </x:text>
    </x:comment>
    <x:comment ref="H65" authorId="0">
      <x:text>
        <x:r>
          <x:t>17780233
Source: https://www.amergis.com/job/1013607-onboarding-and-credentialing-field-support-specialist-i-las-vegas-nv/
Retrieved: October 20, 2026</x:t>
        </x:r>
      </x:text>
    </x:comment>
    <x:comment ref="H66" authorId="0">
      <x:text>
        <x:r>
          <x:t>17780233
Source: https://www.amergis.com/job/1013607-onboarding-and-credentialing-field-support-specialist-i-las-vegas-nv/
Retrieved: October 20, 2026</x:t>
        </x:r>
      </x:text>
    </x:comment>
    <x:comment ref="H67" authorId="0">
      <x:text>
        <x:r>
          <x:t>17780233
Source: https://www.amergis.com/job/1013607-onboarding-and-credentialing-field-support-specialist-i-las-vegas-nv/
Retrieved: October 20, 2026</x:t>
        </x:r>
      </x:text>
    </x:comment>
    <x:comment ref="H68" authorId="0">
      <x:text>
        <x:r>
          <x:t>17780233
Source: https://www.amergis.com/job/1013607-onboarding-and-credentialing-field-support-specialist-i-las-vegas-nv/
Retrieved: October 20, 2026</x:t>
        </x:r>
      </x:text>
    </x:comment>
  </x:commentList>
</x:comments>
</file>

<file path=xl/comments2.xml><?xml version="1.0" encoding="utf-8"?>
<x:comments xmlns:x="http://schemas.openxmlformats.org/spreadsheetml/2006/main">
  <x:authors>
    <x:author/>
  </x:authors>
  <x:commentList>
    <x:comment ref="H6" authorId="0">
      <x:text>
        <x:r>
          <x:t>National Recruitment Manager
Source: https://www.amergis.com/job/994669-national-recruitment-manager-columbia-md/
Education Recruiter
Source: https://www.amergis.com/job/997943-education-recruiter-virginia-beach-va/
Entry Level Sales Recruiter
Source: https://www.amergis.com/job/1000607-entry-level-sales-recruiter-golden-valley-mn/
Recruiter - Educational Services
Source: https://www.amergis.com/job/1002766-recruiter-educational-services-chicago-il/
Recruiter Trainee
Source: https://www.amergis.com/job/1003387-recruiter-trainee-mountlake-terrace-wa/
Recruiter
Source: https://www.amergis.com/job/1003782-recruiter-tacoma-wa/
Education Recruiter
Source: https://www.amergis.com/job/1003760-education-recruiter-spokane-wa/
Recruiter Trainee
Source: https://www.amergis.com/job/1004556-recruiter-trainee-timonium-md/
Recruiter
Source: https://www.amergis.com/job/1004537-recruiter-sugarland-tx/
Healthcare Staffing Recruiter - Sales
Source: https://www.amergis.com/job/1004981-healthcare-staffing-recruiter-sales-tampa-fl/
National Recruitment Manager
Source: https://www.amergis.com/job/1004969-national-recruitment-manager-tampa-fl/
Entry Level Sales Recruiter
Source: https://www.amergis.com/job/1004955-entry-level-sales-recruiter-manchester-nh/
Education Recruiter
Source: https://www.amergis.com/job/1004954-education-recruiter-mountlake-terrace-wa/
National Recruitment Manager
Source: https://www.amergis.com/job/1005026-national-recruitment-manager-tampa-fl/
National Recruitment Manager
Source: https://www.amergis.com/job/1005025-national-recruitment-manager-tampa-fl/
Sales Recruiter
Source: https://www.amergis.com/job/985583-sales-recruiter-portland-or/
Recruiter Trainee
Source: https://www.amergis.com/job/1005973-recruiter-trainee-indianapolis-in/
Educational Services Recruiter
Source: https://www.amergis.com/job/1006276-educational-services-recruiter-phoenix-az/
Education Recruiter
Source: https://www.amergis.com/job/983947-education-recruiter-portland-or/
Entry Level Sales Recruiter
Source: https://www.amergis.com/job/1000645-entry-level-sales-recruiter-charleston-wv/
Recruiter - Educational Services
Source: https://www.amergis.com/job/998127-recruiter-educational-services-san-jose-ca/
Entry Level Sales - Recruiter
Source: https://www.amergis.com/job/1009238-entry-level-sales-recruiter-pensacola-fl/
Sales Recruiter
Source: https://www.amergis.com/job/985565-sales-recruiter-omaha-ne/
Entry Level Sales Recruiter
Source: https://www.amergis.com/job/1009698-entry-level-sales-recruiter-tucson-az/
Entry Level Sales Recruiter
Source: https://www.amergis.com/job/1000633-entry-level-sales-recruiter-silver-spring-md/
Recruiter Trainee
Source: https://www.amergis.com/job/996585-recruiter-trainee-wauwatosa-wi/
Recruiter Trainee
Source: https://www.amergis.com/job/992198-recruiter-trainee-wilmington-de/
National Recruitment Manager
Source: https://www.amergis.com/job/971929-national-recruitment-manager-tampa-fl/
Recruiter
Source: https://www.amergis.com/job/1010210-recruiter-blue-ash-oh/
Entry Level Sales Recruiter
Source: https://www.amergis.com/job/1009957-entry-level-sales-recruiter-needham-ma/
National Recruitment Manager
Source: https://www.amergis.com/job/1003556-national-recruitment-manager-pittsburgh-pa/
National Recruitment Manager Trainee
Source: https://www.amergis.com/job/1011156-national-recruitment-manager-trainee-tampa-fl/
Education Recruiter
Source: https://www.amergis.com/job/985559-education-recruiter-omaha-ne/
Entry Level Sales - Recruiter
Source: https://www.amergis.com/job/1002811-entry-level-sales-recruiter-charleston-sc/
Recruiter - Educational Services
Source: https://www.amergis.com/job/1011753-recruiter-educational-services-orange-ca/
Recruiter Trainee
Source: https://www.amergis.com/job/997098-recruiter-trainee-lakewood-co/
Entry Level Sales - Recruiter
Source: https://www.amergis.com/job/1003353-entry-level-sales-recruiter-jacksonville-fl/
Entry Level Sales - Educational Services Recruiter
Source: https://www.amergis.com/job/1012282-entry-level-sales-educational-services-recruiter-emeryville-ca/
Recruiter Trainee
Source: https://www.amergis.com/job/1012352-recruiter-trainee-pittsburgh-pa/
Entry Level Sales - Recruiter
Source: https://www.amergis.com/job/992547-entry-level-sales-recruiter-tampa-fl/
National Recruitment Manager
Source: https://www.amergis.com/job/1012709-national-recruitment-manager-pittsburgh-pa/
Entry Level Sales - Educational Services Recruiter
Source: https://www.amergis.com/job/996399-entry-level-sales-educational-services-recruiter-los-angeles-ca/
National Recruitment Manager
Source: https://www.amergis.com/job/1002352-national-recruitment-manager-dallas-tx/
Entry Level Sales Recruiter
Source: https://www.amergis.com/job/1005119-entry-level-sales-recruiter-providence-ri/
Entry Level Sales Recruiter
Source: https://www.amergis.com/job/1005061-entry-level-sales-recruiter-harrisburg-pa/
Recruiter - Entry Level Sales
Source: https://www.amergis.com/job/1005060-recruiter-entry-level-sales-south-portland-me/
Entry Level Sales - Recruiter
Source: https://www.amergis.com/job/1013210-entry-level-sales-recruiter-bakersfield-ca/
Recruiter
Source: https://www.amergis.com/job/1013576-recruiter-st-louis-mo/
Recruiter
Source: https://www.amergis.com/job/1013557-recruiter-austin-tx/
Entry Level Sales - Recruiter
Source: https://www.amergis.com/job/1013938-entry-level-sales-recruiter-emeryville-ca/
Recruiter - Educational Services
Source: https://www.amergis.com/job/1014077-recruiter-educational-services-sacramento-ca/
Recruiter - Education Staffing
Source: https://www.amergis.com/job/1014076-recruiter-education-staffing-sacramento-ca/
Entry Level Sales - Recruiter
Source: https://www.amergis.com/job/1014495-entry-level-sales-recruiter-fort-lauderdale-fl/
Entry Level Sales - Recruiter
Source: https://www.amergis.com/job/1003047-entry-level-sales-recruiter-atlanta-ga/
Entry Level Sales - Recruiter
Source: https://www.amergis.com/job/1014520-entry-level-sales-recruiter-memphis-tn/
Entry Level Sales - Recruiter
Source: https://www.amergis.com/job/1014519-entry-level-sales-recruiter-brentwood-tn/
Entry Level Sales - Recruiter
Source: https://www.amergis.com/job/1004608-entry-level-sales-recruiter-fayetteville-nc/
Retrieved: October 20, 2026</x:t>
        </x:r>
      </x:text>
    </x:comment>
    <x:comment ref="H7" authorId="0">
      <x:text>
        <x:r>
          <x:t>RN Clinical Education and Quality Improvement Lead
Source: https://www.amergis.com/job/993081-rn-clinical-education-and-quality-improvement-lead-pueblo-co/
Retrieved: October 20, 2026</x:t>
        </x:r>
      </x:text>
    </x:comment>
    <x:comment ref="H8" authorId="0">
      <x:text>
        <x:r>
          <x:t>Program Manager
Source: https://www.amergis.com/job/997367-program-manager-grand-rapids-mi/
Retrieved: October 20, 2026</x:t>
        </x:r>
      </x:text>
    </x:comment>
    <x:comment ref="H9" authorId="0">
      <x:text>
        <x:r>
          <x:t>Reimbursement Specialist
Source: https://www.amergis.com/job/1004937-reimbursement-specialist-columbia-md/
Retrieved: October 20, 2026</x:t>
        </x:r>
      </x:text>
    </x:comment>
    <x:comment ref="H10" authorId="0">
      <x:text>
        <x:r>
          <x:t>Workers' Compensation Claims Examiner
Source: https://www.amergis.com/job/1008639-workers-compensation-claims-examiner-columbia-md/
Retrieved: October 20, 2026</x:t>
        </x:r>
      </x:text>
    </x:comment>
    <x:comment ref="H11" authorId="0">
      <x:text>
        <x:r>
          <x:t>Communications Specialist
Source: https://www.amergis.com/job/1009078-communications-specialist-columbia-md/
Retrieved: October 20, 2026</x:t>
        </x:r>
      </x:text>
    </x:comment>
    <x:comment ref="H12" authorId="0">
      <x:text>
        <x:r>
          <x:t>Operation Support Manager - SB
Source: https://www.amergis.com/job/1009562-operation-support-manager-sb-columbia-md/
Retrieved: October 20, 2026</x:t>
        </x:r>
      </x:text>
    </x:comment>
    <x:comment ref="H13" authorId="0">
      <x:text>
        <x:r>
          <x:t>Financial Analyst II - Corporate
Source: https://www.amergis.com/job/1004246-financial-analyst-ii-corporate-columbia-md/
Retrieved: October 20, 2026</x:t>
        </x:r>
      </x:text>
    </x:comment>
    <x:comment ref="H14" authorId="0">
      <x:text>
        <x:r>
          <x:t>Business Development Manager
Source: https://www.amergis.com/job/1010420-business-development-manager-melville-ny/
Retrieved: October 20, 2026</x:t>
        </x:r>
      </x:text>
    </x:comment>
    <x:comment ref="H15" authorId="0">
      <x:text>
        <x:r>
          <x:t>Program Specialist
Source: https://www.amergis.com/job/1010729-program-specialist-phoenix-az/
Program Specialist
Source: https://www.amergis.com/job/1011778-program-specialist-pittsburgh-pa/
Retrieved: October 20, 2026</x:t>
        </x:r>
      </x:text>
    </x:comment>
    <x:comment ref="H16" authorId="0">
      <x:text>
        <x:r>
          <x:t>Director of Business Development - Sunburst
Source: https://www.amergis.com/job/1010810-director-of-business-development-sunburst-columbia-md/
Director of Business Development - Prolucent
Source: https://www.amergis.com/job/1011379-director-of-business-development-prolucent-columbia-md/
Retrieved: October 20, 2026</x:t>
        </x:r>
      </x:text>
    </x:comment>
    <x:comment ref="H17" authorId="0">
      <x:text>
        <x:r>
          <x:t>Network Engineer II
Source: https://www.amergis.com/job/1010914-network-engineer-ii-columbia-md/
Retrieved: October 20, 2026</x:t>
        </x:r>
      </x:text>
    </x:comment>
    <x:comment ref="H18" authorId="0">
      <x:text>
        <x:r>
          <x:t>Implementation Specialist - Sunburst
Source: https://www.amergis.com/job/1011782-implementation-specialist-sunburst-phoenix-az/
Retrieved: October 20, 2026</x:t>
        </x:r>
      </x:text>
    </x:comment>
    <x:comment ref="H19" authorId="0">
      <x:text>
        <x:r>
          <x:t>Compliance Manager - Sunburst Workforce Advisors
Source: https://www.amergis.com/job/1011784-compliance-manager-sunburst-workforce-advisors-phoenix-az/
Retrieved: October 20, 2026</x:t>
        </x:r>
      </x:text>
    </x:comment>
    <x:comment ref="H20" authorId="0">
      <x:text>
        <x:r>
          <x:t>Finance Operations Manager
Source: https://www.amergis.com/job/997152-finance-operations-manager-columbia-md/
Retrieved: October 20, 2026</x:t>
        </x:r>
      </x:text>
    </x:comment>
    <x:comment ref="H21" authorId="0">
      <x:text>
        <x:r>
          <x:t>FSM - Customer Service Team
Source: https://www.amergis.com/job/1012985-fsm-customer-service-team-columbia-md/
FSM - I9 E-Verify Process
Source: https://www.amergis.com/job/1012984-fsm-i9-e-verify-process-columbia-md/
Retrieved: October 20, 2026</x:t>
        </x:r>
      </x:text>
    </x:comment>
    <x:comment ref="H22" authorId="0">
      <x:text>
        <x:r>
          <x:t>Content Marketing Specialist II
Source: https://www.amergis.com/job/1013175-content-marketing-specialist-ii-columbia-md/
Retrieved: October 20, 2026</x:t>
        </x:r>
      </x:text>
    </x:comment>
    <x:comment ref="H23" authorId="0">
      <x:text>
        <x:r>
          <x:t>Desktop Support Specialist
Source: https://www.amergis.com/job/1013529-desktop-support-specialist-columbia-md/
Retrieved: October 20, 2026</x:t>
        </x:r>
      </x:text>
    </x:comment>
    <x:comment ref="H24" authorId="0">
      <x:text>
        <x:r>
          <x:t>Onboarding and Credentialing Field Support Specialist I
Source: https://www.amergis.com/job/1013607-onboarding-and-credentialing-field-support-specialist-i-las-vegas-nv/
Retrieved: October 20, 2026</x:t>
        </x:r>
      </x:text>
    </x:comment>
    <x:comment ref="H25" authorId="0">
      <x:text>
        <x:r>
          <x:t>Staffing Analyst
Source: https://www.amergis.com/job/1006683-staffing-analyst-poughkeepsie-ny/
Retrieved: October 20, 2026</x:t>
        </x:r>
      </x:text>
    </x:comment>
  </x:commentList>
</x:comments>
</file>

<file path=xl/comments3.xml><?xml version="1.0" encoding="utf-8"?>
<x:comments xmlns:x="http://schemas.openxmlformats.org/spreadsheetml/2006/main">
  <x:authors>
    <x:author/>
  </x:authors>
  <x:commentList>
    <x:comment ref="H6" authorId="0">
      <x:text>
        <x:r>
          <x:t>Rule CR001
Source: https://files.sourcewell.org/public/Shared%20Documents/Solicitations/10924/00006717/Contract%20Documents/Amerigis%20Healthcare%20Contract%20061324.pdf#page=2
Retrieved: October 20, 2026</x:t>
        </x:r>
      </x:text>
    </x:comment>
    <x:comment ref="H7" authorId="0">
      <x:text>
        <x:r>
          <x:t>Rule CR002
Source: https://files.sourcewell.org/public/Shared%20Documents/Solicitations/10924/00006717/Contract%20Documents/Amerigis%20Healthcare%20Contract%20061324.pdf#page=4
Retrieved: October 20, 2026</x:t>
        </x:r>
      </x:text>
    </x:comment>
    <x:comment ref="H8" authorId="0">
      <x:text>
        <x:r>
          <x:t>Rule CR003
Source: https://files.sourcewell.org/public/Shared%20Documents/Solicitations/10924/00006717/Contract%20Documents/Amerigis%20Healthcare%20Contract%20061324.pdf#page=5
Retrieved: October 20, 2026</x:t>
        </x:r>
      </x:text>
    </x:comment>
    <x:comment ref="H9" authorId="0">
      <x:text>
        <x:r>
          <x:t>Rule CR004
Source: https://files.sourcewell.org/public/Shared%20Documents/Solicitations/10924/00006717/Contract%20Documents/Amerigis%20Healthcare%20Contract%20061324.pdf#page=6
Retrieved: October 20, 2026</x:t>
        </x:r>
      </x:text>
    </x:comment>
    <x:comment ref="H10" authorId="0">
      <x:text>
        <x:r>
          <x:t>Rule CR005
Source: https://files.sourcewell.org/public/Shared%20Documents/Solicitations/10924/00006717/Contract%20Documents/Amerigis%20Healthcare%20Contract%20061324.pdf#page=6
Retrieved: October 20, 2026</x:t>
        </x:r>
      </x:text>
    </x:comment>
    <x:comment ref="H11" authorId="0">
      <x:text>
        <x:r>
          <x:t>Rule CR006
Source: https://files.sourcewell.org/public/Shared%20Documents/Solicitations/10924/00006717/Contract%20Documents/Amerigis%20Healthcare%20Contract%20061324.pdf#page=6
Retrieved: October 20, 2026</x:t>
        </x:r>
      </x:text>
    </x:comment>
    <x:comment ref="H12" authorId="0">
      <x:text>
        <x:r>
          <x:t>Rule CR007
Source: https://files.sourcewell.org/public/Shared%20Documents/Solicitations/10924/00006717/Contract%20Documents/Amerigis%20Healthcare%20Contract%20061324.pdf#page=18
Retrieved: October 20, 2026</x:t>
        </x:r>
      </x:text>
    </x:comment>
    <x:comment ref="H13" authorId="0">
      <x:text>
        <x:r>
          <x:t>Rule CR008
Source: https://eldorado.legistar.com/View.ashx?M=F&amp;ID=15807895&amp;GUID=3997709B-28F6-4004-B8A8-F3B74414DF4B#page=45
Retrieved: October 20, 2026</x:t>
        </x:r>
      </x:text>
    </x:comment>
    <x:comment ref="H14" authorId="0">
      <x:text>
        <x:r>
          <x:t>Rule CR009
Source: https://eldorado.legistar.com/View.ashx?M=F&amp;ID=15807895&amp;GUID=3997709B-28F6-4004-B8A8-F3B74414DF4B#page=46
Retrieved: October 20, 2026</x:t>
        </x:r>
      </x:text>
    </x:comment>
    <x:comment ref="H15" authorId="0">
      <x:text>
        <x:r>
          <x:t>Rule CR010
Source: https://eldorado.legistar.com/View.ashx?M=F&amp;ID=15807895&amp;GUID=3997709B-28F6-4004-B8A8-F3B74414DF4B#page=46
Retrieved: October 20, 2026</x:t>
        </x:r>
      </x:text>
    </x:comment>
    <x:comment ref="H16" authorId="0">
      <x:text>
        <x:r>
          <x:t>Rule CR011
Source: https://eldorado.legistar.com/View.ashx?M=F&amp;ID=15807895&amp;GUID=3997709B-28F6-4004-B8A8-F3B74414DF4B#page=46
Retrieved: October 20, 2026</x:t>
        </x:r>
      </x:text>
    </x:comment>
    <x:comment ref="H17" authorId="0">
      <x:text>
        <x:r>
          <x:t>Rule CR012
Source: https://eldorado.legistar.com/View.ashx?M=F&amp;ID=15807895&amp;GUID=3997709B-28F6-4004-B8A8-F3B74414DF4B#page=46
Retrieved: October 20, 2026</x:t>
        </x:r>
      </x:text>
    </x:comment>
    <x:comment ref="H18" authorId="0">
      <x:text>
        <x:r>
          <x:t>Rule CR013
Source: https://eldorado.legistar.com/View.ashx?M=F&amp;ID=15807895&amp;GUID=3997709B-28F6-4004-B8A8-F3B74414DF4B#page=46
Retrieved: October 20, 2026</x:t>
        </x:r>
      </x:text>
    </x:comment>
    <x:comment ref="H19" authorId="0">
      <x:text>
        <x:r>
          <x:t>Rule CR014
Source: https://eldorado.legistar.com/View.ashx?M=F&amp;ID=15807895&amp;GUID=3997709B-28F6-4004-B8A8-F3B74414DF4B#page=47
Retrieved: October 20, 2026</x:t>
        </x:r>
      </x:text>
    </x:comment>
    <x:comment ref="H20" authorId="0">
      <x:text>
        <x:r>
          <x:t>Rule CR015
Source: https://eldorado.legistar.com/View.ashx?M=F&amp;ID=15807895&amp;GUID=3997709B-28F6-4004-B8A8-F3B74414DF4B#page=50
Retrieved: October 20, 2026</x:t>
        </x:r>
      </x:text>
    </x:comment>
    <x:comment ref="H21" authorId="0">
      <x:text>
        <x:r>
          <x:t>Rule CR016
Source: https://eldorado.legistar.com/View.ashx?M=F&amp;ID=15807895&amp;GUID=3997709B-28F6-4004-B8A8-F3B74414DF4B#page=47
Retrieved: October 20, 2026</x:t>
        </x:r>
      </x:text>
    </x:comment>
    <x:comment ref="H22" authorId="0">
      <x:text>
        <x:r>
          <x:t>Rule CR017
Source: https://eldorado.legistar.com/View.ashx?M=F&amp;ID=15807895&amp;GUID=3997709B-28F6-4004-B8A8-F3B74414DF4B#page=48
Retrieved: October 20, 2026</x:t>
        </x:r>
      </x:text>
    </x:comment>
    <x:comment ref="H23" authorId="0">
      <x:text>
        <x:r>
          <x:t>Rule CR018
Source: https://public.destinyhosted.com/knoxdocs/2025/AGN/20250604_4922/17376_Contract_No._25-287%28b%29_Amergis_Healthcare_Staffing%2C_Inc..pdf#page=2
Retrieved: October 20, 2026</x:t>
        </x:r>
      </x:text>
    </x:comment>
    <x:comment ref="H24" authorId="0">
      <x:text>
        <x:r>
          <x:t>Rule CR019
Source: https://public.destinyhosted.com/knoxdocs/2025/AGN/20250604_4922/17376_Contract_No._25-287%28b%29_Amergis_Healthcare_Staffing%2C_Inc..pdf#page=2
Retrieved: October 20, 2026</x:t>
        </x:r>
      </x:text>
    </x:comment>
    <x:comment ref="H25" authorId="0">
      <x:text>
        <x:r>
          <x:t>Rule CR020
Source: https://public.destinyhosted.com/knoxdocs/2025/AGN/20250604_4922/17376_Contract_No._25-287%28b%29_Amergis_Healthcare_Staffing%2C_Inc..pdf#page=46
Retrieved: October 20, 2026</x:t>
        </x:r>
      </x:text>
    </x:comment>
    <x:comment ref="H26" authorId="0">
      <x:text>
        <x:r>
          <x:t>Rule CR021
Source: https://public.destinyhosted.com/knoxdocs/2025/AGN/20250604_4922/17376_Contract_No._25-287%28b%29_Amergis_Healthcare_Staffing%2C_Inc..pdf#page=46
Retrieved: October 20, 2026</x:t>
        </x:r>
      </x:text>
    </x:comment>
    <x:comment ref="H27" authorId="0">
      <x:text>
        <x:r>
          <x:t>Rule CR022
Source: https://public.destinyhosted.com/knoxdocs/2025/AGN/20250604_4922/17376_Contract_No._25-287%28b%29_Amergis_Healthcare_Staffing%2C_Inc..pdf#page=65
Retrieved: October 20, 2026</x:t>
        </x:r>
      </x:text>
    </x:comment>
    <x:comment ref="H28" authorId="0">
      <x:text>
        <x:r>
          <x:t>Rule CR023
Source: https://public.destinyhosted.com/knoxdocs/2025/AGN/20250604_4922/17376_Contract_No._25-287%28b%29_Amergis_Healthcare_Staffing%2C_Inc..pdf#page=70
Retrieved: October 20, 2026</x:t>
        </x:r>
      </x:text>
    </x:comment>
    <x:comment ref="H29" authorId="0">
      <x:text>
        <x:r>
          <x:t>Rule CR024
Source: https://public.destinyhosted.com/knoxdocs/2025/AGN/20250604_4922/17376_Contract_No._25-287%28b%29_Amergis_Healthcare_Staffing%2C_Inc..pdf#page=70
Retrieved: October 20, 2026</x:t>
        </x:r>
      </x:text>
    </x:comment>
    <x:comment ref="H30" authorId="0">
      <x:text>
        <x:r>
          <x:t>Rule CR025
Source: https://public.destinyhosted.com/knoxdocs/2025/AGN/20250604_4922/17376_Contract_No._25-287%28b%29_Amergis_Healthcare_Staffing%2C_Inc..pdf#page=99
Retrieved: October 20, 2026</x:t>
        </x:r>
      </x:text>
    </x:comment>
    <x:comment ref="H31" authorId="0">
      <x:text>
        <x:r>
          <x:t>Rule CR026
Source: https://public.destinyhosted.com/knoxdocs/2025/AGN/20250604_4922/17376_Contract_No._25-287%28b%29_Amergis_Healthcare_Staffing%2C_Inc..pdf#page=1
Retrieved: October 20, 2026</x:t>
        </x:r>
      </x:text>
    </x:comment>
    <x:comment ref="H32" authorId="0">
      <x:text>
        <x:r>
          <x:t>Rule CR027
Source: https://public.destinyhosted.com/knoxdocs/2025/AGN/20250604_4922/17376_Contract_No._25-287%28b%29_Amergis_Healthcare_Staffing%2C_Inc..pdf#page=3
Retrieved: October 20, 2026</x:t>
        </x:r>
      </x:text>
    </x:comment>
    <x:comment ref="H33" authorId="0">
      <x:text>
        <x:r>
          <x:t>Rule CR028
Source: https://public.destinyhosted.com/knoxdocs/2025/AGN/20250604_4922/17376_Contract_No._25-287%28b%29_Amergis_Healthcare_Staffing%2C_Inc..pdf#page=10
Retrieved: October 20, 2026</x:t>
        </x:r>
      </x:text>
    </x:comment>
    <x:comment ref="H34" authorId="0">
      <x:text>
        <x:r>
          <x:t>Rule CR029
Source: https://rps205.community.diligentoneplatform.com/document/0229f470-5937-4ba5-bdfd-0fcb2921ed3f/#page=10
Retrieved: October 20, 2026</x:t>
        </x:r>
      </x:text>
    </x:comment>
    <x:comment ref="H35" authorId="0">
      <x:text>
        <x:r>
          <x:t>Rule CR030
Source: https://rps205.community.diligentoneplatform.com/document/0229f470-5937-4ba5-bdfd-0fcb2921ed3f/#page=10
Retrieved: October 20, 2026</x:t>
        </x:r>
      </x:text>
    </x:comment>
    <x:comment ref="H36" authorId="0">
      <x:text>
        <x:r>
          <x:t>Rule CR031
Source: https://rps205.community.diligentoneplatform.com/document/0229f470-5937-4ba5-bdfd-0fcb2921ed3f/#page=16
Retrieved: October 20, 2026</x:t>
        </x:r>
      </x:text>
    </x:comment>
    <x:comment ref="H37" authorId="0">
      <x:text>
        <x:r>
          <x:t>Rule CR032
Source: https://rps205.community.diligentoneplatform.com/document/0229f470-5937-4ba5-bdfd-0fcb2921ed3f/#page=16
Retrieved: October 20, 2026</x:t>
        </x:r>
      </x:text>
    </x:comment>
    <x:comment ref="H38" authorId="0">
      <x:text>
        <x:r>
          <x:t>Rule CR033
Source: https://rps205.community.diligentoneplatform.com/document/0229f470-5937-4ba5-bdfd-0fcb2921ed3f/#page=8
Retrieved: October 20, 2026</x:t>
        </x:r>
      </x:text>
    </x:comment>
    <x:comment ref="H39" authorId="0">
      <x:text>
        <x:r>
          <x:t>Rule CR034
Source: https://rps205.community.diligentoneplatform.com/document/0229f470-5937-4ba5-bdfd-0fcb2921ed3f/#page=33
Retrieved: October 20, 2026</x:t>
        </x:r>
      </x:text>
    </x:comment>
    <x:comment ref="H40" authorId="0">
      <x:text>
        <x:r>
          <x:t>Rule CR035
Source: https://rps205.community.diligentoneplatform.com/document/0229f470-5937-4ba5-bdfd-0fcb2921ed3f/#page=33
Retrieved: October 20, 2026</x:t>
        </x:r>
      </x:text>
    </x:comment>
    <x:comment ref="H41" authorId="0">
      <x:text>
        <x:r>
          <x:t>Rule CR036
Source: https://rps205.community.diligentoneplatform.com/document/0229f470-5937-4ba5-bdfd-0fcb2921ed3f/#page=34
Retrieved: October 20, 2026</x:t>
        </x:r>
      </x:text>
    </x:comment>
    <x:comment ref="H42" authorId="0">
      <x:text>
        <x:r>
          <x:t>Rule CR037
Source: https://rps205.community.diligentoneplatform.com/document/0229f470-5937-4ba5-bdfd-0fcb2921ed3f/#page=10
Retrieved: October 20, 2026</x:t>
        </x:r>
      </x:text>
    </x:comment>
    <x:comment ref="H43" authorId="0">
      <x:text>
        <x:r>
          <x:t>Rule CR038
Source: https://rps205.community.diligentoneplatform.com/document/0229f470-5937-4ba5-bdfd-0fcb2921ed3f/#page=28
Retrieved: October 20, 2026</x:t>
        </x:r>
      </x:text>
    </x:comment>
    <x:comment ref="H44" authorId="0">
      <x:text>
        <x:r>
          <x:t>Rule CR039
Source: https://ousd.legistar.com/View.ashx?M=F&amp;ID=14650115&amp;GUID=C93B2BB7-6FD6-47CE-9F12-2835232F6AB6#page=19
Retrieved: October 20, 2026</x:t>
        </x:r>
      </x:text>
    </x:comment>
    <x:comment ref="H45" authorId="0">
      <x:text>
        <x:r>
          <x:t>Rule CR040
Source: https://ousd.legistar.com/View.ashx?M=F&amp;ID=14650115&amp;GUID=C93B2BB7-6FD6-47CE-9F12-2835232F6AB6#page=4
Retrieved: October 20, 2026</x:t>
        </x:r>
      </x:text>
    </x:comment>
    <x:comment ref="H46" authorId="0">
      <x:text>
        <x:r>
          <x:t>Rule CR041
Source: https://ousd.legistar.com/View.ashx?M=F&amp;ID=14650115&amp;GUID=C93B2BB7-6FD6-47CE-9F12-2835232F6AB6#page=5
Retrieved: October 20, 2026</x:t>
        </x:r>
      </x:text>
    </x:comment>
    <x:comment ref="H47" authorId="0">
      <x:text>
        <x:r>
          <x:t>Rule CR042
Source: https://ousd.legistar.com/View.ashx?M=F&amp;ID=14650115&amp;GUID=C93B2BB7-6FD6-47CE-9F12-2835232F6AB6#page=5
Retrieved: October 20, 2026</x:t>
        </x:r>
      </x:text>
    </x:comment>
    <x:comment ref="H48" authorId="0">
      <x:text>
        <x:r>
          <x:t>Rule CR043
Source: https://ousd.legistar.com/View.ashx?M=F&amp;ID=14650115&amp;GUID=C93B2BB7-6FD6-47CE-9F12-2835232F6AB6#page=11
Retrieved: October 20, 2026</x:t>
        </x:r>
      </x:text>
    </x:comment>
    <x:comment ref="H49" authorId="0">
      <x:text>
        <x:r>
          <x:t>Rule CR044
Source: https://ousd.legistar.com/View.ashx?M=F&amp;ID=14650115&amp;GUID=C93B2BB7-6FD6-47CE-9F12-2835232F6AB6#page=11
Retrieved: October 20, 2026</x:t>
        </x:r>
      </x:text>
    </x:comment>
    <x:comment ref="H50" authorId="0">
      <x:text>
        <x:r>
          <x:t>Rule CR045
Source: https://ousd.legistar.com/View.ashx?M=F&amp;ID=14650115&amp;GUID=C93B2BB7-6FD6-47CE-9F12-2835232F6AB6#page=5
Retrieved: October 20, 2026</x:t>
        </x:r>
      </x:text>
    </x:comment>
    <x:comment ref="H51" authorId="0">
      <x:text>
        <x:r>
          <x:t>Rule CR046
Source: https://ousd.legistar.com/View.ashx?M=F&amp;ID=14650115&amp;GUID=C93B2BB7-6FD6-47CE-9F12-2835232F6AB6#page=18
Retrieved: October 20, 2026</x:t>
        </x:r>
      </x:text>
    </x:comment>
    <x:comment ref="H52" authorId="0">
      <x:text>
        <x:r>
          <x:t>Rule CR047
Source: https://santabarbara.legistar.com/View.ashx?M=F&amp;ID=15868116&amp;GUID=60F86CCF-E7A1-48B4-9589-7F03672B49E6#page=12
Retrieved: October 20, 2026</x:t>
        </x:r>
      </x:text>
    </x:comment>
    <x:comment ref="H53" authorId="0">
      <x:text>
        <x:r>
          <x:t>Rule CR048
Source: https://santabarbara.legistar.com/View.ashx?M=F&amp;ID=15868116&amp;GUID=60F86CCF-E7A1-48B4-9589-7F03672B49E6#page=13
Retrieved: October 20, 2026</x:t>
        </x:r>
      </x:text>
    </x:comment>
    <x:comment ref="H54" authorId="0">
      <x:text>
        <x:r>
          <x:t>Rule CR049
Source: https://santabarbara.legistar.com/View.ashx?M=F&amp;ID=15868116&amp;GUID=60F86CCF-E7A1-48B4-9589-7F03672B49E6#page=14
Retrieved: October 20, 2026</x:t>
        </x:r>
      </x:text>
    </x:comment>
    <x:comment ref="H55" authorId="0">
      <x:text>
        <x:r>
          <x:t>Rule CR050
Source: https://santabarbara.legistar.com/View.ashx?M=F&amp;ID=15868116&amp;GUID=60F86CCF-E7A1-48B4-9589-7F03672B49E6#page=15
Retrieved: October 20, 2026</x:t>
        </x:r>
      </x:text>
    </x:comment>
    <x:comment ref="H56" authorId="0">
      <x:text>
        <x:r>
          <x:t>Rule CR051
Source: https://santabarbara.legistar.com/View.ashx?M=F&amp;ID=15868116&amp;GUID=60F86CCF-E7A1-48B4-9589-7F03672B49E6#page=17
Retrieved: October 20, 2026</x:t>
        </x:r>
      </x:text>
    </x:comment>
    <x:comment ref="H57" authorId="0">
      <x:text>
        <x:r>
          <x:t>Rule CR052
Source: https://santabarbara.legistar.com/View.ashx?M=F&amp;ID=15868116&amp;GUID=60F86CCF-E7A1-48B4-9589-7F03672B49E6#page=17
Retrieved: October 20, 2026</x:t>
        </x:r>
      </x:text>
    </x:comment>
    <x:comment ref="H58" authorId="0">
      <x:text>
        <x:r>
          <x:t>Rule CR053
Source: https://santabarbara.legistar.com/View.ashx?M=F&amp;ID=15868116&amp;GUID=60F86CCF-E7A1-48B4-9589-7F03672B49E6#page=18
Retrieved: October 20, 2026</x:t>
        </x:r>
      </x:text>
    </x:comment>
    <x:comment ref="H59" authorId="0">
      <x:text>
        <x:r>
          <x:t>Rule CR054
Source: https://santabarbara.legistar.com/View.ashx?M=F&amp;ID=15868116&amp;GUID=60F86CCF-E7A1-48B4-9589-7F03672B49E6#page=18
Retrieved: October 20, 2026</x:t>
        </x:r>
      </x:text>
    </x:comment>
    <x:comment ref="H60" authorId="0">
      <x:text>
        <x:r>
          <x:t>Rule CR055
Source: https://santabarbara.legistar.com/View.ashx?M=F&amp;ID=15868116&amp;GUID=60F86CCF-E7A1-48B4-9589-7F03672B49E6#page=16
Retrieved: October 20, 2026</x:t>
        </x:r>
      </x:text>
    </x:comment>
    <x:comment ref="H61" authorId="0">
      <x:text>
        <x:r>
          <x:t>Rule CR056
Source: https://santabarbara.legistar.com/View.ashx?M=F&amp;ID=15868116&amp;GUID=60F86CCF-E7A1-48B4-9589-7F03672B49E6#page=6
Retrieved: October 20, 2026</x:t>
        </x:r>
      </x:text>
    </x:comment>
    <x:comment ref="H62" authorId="0">
      <x:text>
        <x:r>
          <x:t>Rule CR057
Source: https://santabarbara.legistar.com/View.ashx?M=F&amp;ID=15868116&amp;GUID=60F86CCF-E7A1-48B4-9589-7F03672B49E6#page=12
Retrieved: October 20, 2026</x:t>
        </x:r>
      </x:text>
    </x:comment>
  </x:commentList>
</x:comments>
</file>

<file path=xl/comments4.xml><?xml version="1.0" encoding="utf-8"?>
<x:comments xmlns:x="http://schemas.openxmlformats.org/spreadsheetml/2006/main">
  <x:authors>
    <x:author/>
  </x:authors>
  <x:commentList>
    <x:comment ref="H6" authorId="0">
      <x:text>
        <x:r>
          <x:t>C01 document
Source: https://files.sourcewell.org/public/Shared%20Documents/Solicitations/10924/00006717/Contract%20Documents/Amerigis%20Healthcare%20Contract%20061324.pdf
Retrieved: October 20, 2026</x:t>
        </x:r>
      </x:text>
    </x:comment>
    <x:comment ref="H7" authorId="0">
      <x:text>
        <x:r>
          <x:t>C02 document
Source: https://eldorado.legistar.com/View.ashx?M=F&amp;ID=15807895&amp;GUID=3997709B-28F6-4004-B8A8-F3B74414DF4B
Retrieved: October 20, 2026</x:t>
        </x:r>
      </x:text>
    </x:comment>
    <x:comment ref="H8" authorId="0">
      <x:text>
        <x:r>
          <x:t>C03 document
Source: https://public.destinyhosted.com/knoxdocs/2025/AGN/20250604_4922/17376_Contract_No._25-287%28b%29_Amergis_Healthcare_Staffing%2C_Inc..pdf
Retrieved: October 20, 2026</x:t>
        </x:r>
      </x:text>
    </x:comment>
    <x:comment ref="H9" authorId="0">
      <x:text>
        <x:r>
          <x:t>C04 document
Source: https://rps205.community.diligentoneplatform.com/document/0229f470-5937-4ba5-bdfd-0fcb2921ed3f/
Retrieved: October 20, 2026</x:t>
        </x:r>
      </x:text>
    </x:comment>
    <x:comment ref="H10" authorId="0">
      <x:text>
        <x:r>
          <x:t>C05 document
Source: https://ousd.legistar.com/View.ashx?M=F&amp;ID=14650115&amp;GUID=C93B2BB7-6FD6-47CE-9F12-2835232F6AB6
Retrieved: October 20, 2026</x:t>
        </x:r>
      </x:text>
    </x:comment>
    <x:comment ref="H11" authorId="0">
      <x:text>
        <x:r>
          <x:t>C06 document
Source: https://santabarbara.legistar.com/View.ashx?M=F&amp;ID=15868116&amp;GUID=60F86CCF-E7A1-48B4-9589-7F03672B49E6
Retrieved: October 20, 2026</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mm/dd/yy"/>
  </x:numFmts>
  <x:fonts count="8">
    <x:font>
      <x:sz val="11"/>
      <x:name val="Carlito"/>
    </x:font>
    <x:font>
      <x:sz val="10"/>
      <x:color rgb="FF172E43"/>
      <x:name val="Arial"/>
    </x:font>
    <x:font>
      <x:b/>
      <x:sz val="16"/>
      <x:color rgb="FF17324D"/>
      <x:name val="Arial"/>
    </x:font>
    <x:font>
      <x:i/>
      <x:sz val="10"/>
      <x:color rgb="FF5B6D7C"/>
      <x:name val="Arial"/>
    </x:font>
    <x:font>
      <x:b/>
      <x:sz val="10"/>
      <x:color rgb="FFFFFFFF"/>
      <x:name val="Arial"/>
    </x:font>
    <x:font>
      <x:sz val="10"/>
      <x:color rgb="FF007F82"/>
      <x:name val="Arial"/>
    </x:font>
    <x:font>
      <x:sz val="10"/>
      <x:color rgb="FF5B6D7C"/>
      <x:name val="Arial"/>
    </x:font>
    <x:font>
      <x:b/>
      <x:sz val="10"/>
      <x:color rgb="FF007F82"/>
      <x:name val="Arial"/>
    </x:font>
  </x:fonts>
  <x:fills count="5">
    <x:fill>
      <x:patternFill patternType="none"/>
    </x:fill>
    <x:fill>
      <x:patternFill patternType="gray125"/>
    </x:fill>
    <x:fill>
      <x:patternFill patternType="solid">
        <x:fgColor rgb="FF17324D"/>
      </x:patternFill>
    </x:fill>
    <x:fill>
      <x:patternFill patternType="solid">
        <x:fgColor rgb="FFF0F5F8"/>
      </x:patternFill>
    </x:fill>
    <x:fill>
      <x:patternFill patternType="solid">
        <x:fgColor rgb="FFFFF2CC"/>
      </x:patternFill>
    </x:fill>
  </x:fills>
  <x:borders count="6">
    <x:border>
      <x:left/>
      <x:right/>
      <x:top/>
      <x:bottom/>
      <x:diagonal/>
    </x:border>
    <x:border>
      <x:left/>
      <x:right/>
      <x:top/>
      <x:bottom style="thin">
        <x:color rgb="FF007F82"/>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CAD8E2"/>
      </x:bottom>
      <x:diagonal/>
    </x:border>
  </x:borders>
  <x:cellStyleXfs count="1">
    <x:xf numFmtId="0" fontId="0" fillId="0" borderId="0"/>
  </x:cellStyleXfs>
  <x:cellXfs count="3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6" fillId="0"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5"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0" borderId="5" xfId="0" applyNumberFormat="1" applyFont="1" applyFill="1" applyBorder="1" applyAlignment="1">
      <x:alignment vertical="center"/>
    </x:xf>
    <x:xf numFmtId="0" fontId="7" fillId="0" borderId="0" xfId="0" applyNumberFormat="1" applyFont="1" applyFill="1" applyBorder="1" applyAlignment="1">
      <x:alignment vertical="center"/>
    </x:xf>
  </x:cellXfs>
  <x:cellStyles count="1">
    <x:cellStyle name="Normal" xfId="0"/>
  </x:cellStyles>
  <x:dxfs count="5">
    <x:dxf>
      <x:font>
        <x:b/>
        <x:color rgb="FF172E43"/>
      </x:font>
      <x:fill>
        <x:patternFill patternType="solid">
          <x:bgColor rgb="FFDCEFED"/>
        </x:patternFill>
      </x:fill>
    </x:dxf>
    <x:dxf>
      <x:font>
        <x:b/>
        <x:color rgb="FF172E43"/>
      </x:font>
      <x:fill>
        <x:patternFill patternType="solid">
          <x:bgColor rgb="FFE8EEF5"/>
        </x:patternFill>
      </x:fill>
    </x:dxf>
    <x:dxf>
      <x:font>
        <x:b/>
        <x:color rgb="FF172E43"/>
      </x:font>
      <x:fill>
        <x:patternFill patternType="solid">
          <x:bgColor rgb="FFF0EBF5"/>
        </x:patternFill>
      </x:fill>
    </x:dxf>
    <x:dxf>
      <x:fill>
        <x:patternFill patternType="solid">
          <x:bgColor rgb="FFFFF4E5"/>
        </x:patternFill>
      </x:fill>
    </x:dxf>
    <x:dxf>
      <x:fill>
        <x:patternFill patternType="solid">
          <x:bgColor rgb="FFFFF4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267de70f33a480d" /><Relationship Type="http://schemas.openxmlformats.org/officeDocument/2006/relationships/theme" Target="/xl/theme/theme1.xml" Id="R282e6ff32c774dff" /><Relationship Type="http://schemas.openxmlformats.org/officeDocument/2006/relationships/sharedStrings" Target="/xl/sharedStrings.xml" Id="R3aaffbe0c3ca4ac3" /><Relationship Type="http://schemas.openxmlformats.org/officeDocument/2006/relationships/worksheet" Target="/xl/worksheets/sheet1.xml" Id="R3efcfb297cce48e3" /><Relationship Type="http://schemas.openxmlformats.org/officeDocument/2006/relationships/worksheet" Target="/xl/worksheets/sheet2.xml" Id="R6019417cc4b74730" /><Relationship Type="http://schemas.openxmlformats.org/officeDocument/2006/relationships/worksheet" Target="/xl/worksheets/sheet3.xml" Id="R78c2672e83ab4386" /><Relationship Type="http://schemas.openxmlformats.org/officeDocument/2006/relationships/worksheet" Target="/xl/worksheets/sheet4.xml" Id="R1ce84a6718ae4fc9" /><Relationship Type="http://schemas.openxmlformats.org/officeDocument/2006/relationships/worksheet" Target="/xl/worksheets/sheet5.xml" Id="R8d05474b07674545" /><Relationship Type="http://schemas.openxmlformats.org/officeDocument/2006/relationships/worksheet" Target="/xl/worksheets/sheet6.xml" Id="R18c6dbf47c3a42e6" /><Relationship Type="http://schemas.openxmlformats.org/officeDocument/2006/relationships/worksheet" Target="/xl/worksheets/sheet7.xml" Id="R9538353dd8194e70" /></Relationships>
</file>

<file path=xl/tables/table1.xml><?xml version="1.0" encoding="utf-8"?>
<x:table xmlns:x="http://schemas.openxmlformats.org/spreadsheetml/2006/main" id="1" name="AgentTasks" displayName="AgentTasks" ref="A5:G68" headerRowCount="1" totalsRowCount="0" totalsRowShown="0">
  <x:autoFilter ref="A5:G68"/>
  <x:tableColumns count="7">
    <x:tableColumn id="1" name="Task ID"/>
    <x:tableColumn id="2" name="Role family"/>
    <x:tableColumn id="3" name="Task"/>
    <x:tableColumn id="4" name="Proposed agent"/>
    <x:tableColumn id="5" name="Mode"/>
    <x:tableColumn id="6" name="Accountable human"/>
    <x:tableColumn id="7" name="Decision boundary and exception"/>
  </x:tableColumns>
  <x:tableStyleInfo name="TableStyleLight1" showFirstColumn="0" showLastColumn="0" showRowStripes="1" showColumnStripes="0"/>
</x:table>
</file>

<file path=xl/tables/table2.xml><?xml version="1.0" encoding="utf-8"?>
<x:table xmlns:x="http://schemas.openxmlformats.org/spreadsheetml/2006/main" id="2" name="ImplementationReview" displayName="ImplementationReview" ref="A5:G68" headerRowCount="1" totalsRowCount="0" totalsRowShown="0">
  <x:autoFilter ref="A5:G68"/>
  <x:tableColumns count="7">
    <x:tableColumn id="1" name="Task ID"/>
    <x:tableColumn id="2" name="Task"/>
    <x:tableColumn id="3" name="Proposed phase"/>
    <x:tableColumn id="4" name="Named review owner"/>
    <x:tableColumn id="5" name="Review decision"/>
    <x:tableColumn id="6" name="Acceptance evidence / condition"/>
    <x:tableColumn id="7" name="Review status"/>
  </x:tableColumns>
  <x:tableStyleInfo name="TableStyleLight1" showFirstColumn="0" showLastColumn="0" showRowStripes="1" showColumnStripes="0"/>
</x:table>
</file>

<file path=xl/tables/table3.xml><?xml version="1.0" encoding="utf-8"?>
<x:table xmlns:x="http://schemas.openxmlformats.org/spreadsheetml/2006/main" id="3" name="TaskEvidence" displayName="TaskEvidence" ref="A5:H68" headerRowCount="1" totalsRowCount="0" totalsRowShown="0">
  <x:autoFilter ref="A5:H68"/>
  <x:tableColumns count="8">
    <x:tableColumn id="1" name="Task ID"/>
    <x:tableColumn id="2" name="Observed public duty"/>
    <x:tableColumn id="3" name="Proposed trigger"/>
    <x:tableColumn id="4" name="Proposed inputs"/>
    <x:tableColumn id="5" name="Proposed output"/>
    <x:tableColumn id="6" name="Proposed dependencies"/>
    <x:tableColumn id="7" name="Proposed KPI"/>
    <x:tableColumn id="8" name="Source posting IDs"/>
  </x:tableColumns>
  <x:tableStyleInfo name="TableStyleLight1" showFirstColumn="0" showLastColumn="0" showRowStripes="1" showColumnStripes="0"/>
</x:table>
</file>

<file path=xl/tables/table4.xml><?xml version="1.0" encoding="utf-8"?>
<x:table xmlns:x="http://schemas.openxmlformats.org/spreadsheetml/2006/main" id="4" name="RoleCatalog" displayName="RoleCatalog" ref="A5:H25" headerRowCount="1" totalsRowCount="0" totalsRowShown="0">
  <x:autoFilter ref="A5:H25"/>
  <x:tableColumns count="8">
    <x:tableColumn id="1" name="Role ID"/>
    <x:tableColumn id="2" name="Role family"/>
    <x:tableColumn id="3" name="Posting records"/>
    <x:tableColumn id="4" name="Observed public duties"/>
    <x:tableColumn id="5" name="Observed handoffs"/>
    <x:tableColumn id="6" name="System mentions and evidence scope"/>
    <x:tableColumn id="7" name="Limitations"/>
    <x:tableColumn id="8" name="Sources"/>
  </x:tableColumns>
  <x:tableStyleInfo name="TableStyleLight1" showFirstColumn="0" showLastColumn="0" showRowStripes="1" showColumnStripes="0"/>
</x:table>
</file>

<file path=xl/tables/table5.xml><?xml version="1.0" encoding="utf-8"?>
<x:table xmlns:x="http://schemas.openxmlformats.org/spreadsheetml/2006/main" id="5" name="ContractRules" displayName="ContractRules" ref="A5:H62" headerRowCount="1" totalsRowCount="0" totalsRowShown="0">
  <x:autoFilter ref="A5:H62"/>
  <x:tableColumns count="8">
    <x:tableColumn id="1" name="Rule ID"/>
    <x:tableColumn id="2" name="Contract ID"/>
    <x:tableColumn id="3" name="Category"/>
    <x:tableColumn id="4" name="Documented rule"/>
    <x:tableColumn id="5" name="Proposed agent control"/>
    <x:tableColumn id="6" name="Exception reviewer"/>
    <x:tableColumn id="7" name="Document location"/>
    <x:tableColumn id="8" name="Source"/>
  </x:tableColumns>
  <x:tableStyleInfo name="TableStyleLight1" showFirstColumn="0" showLastColumn="0" showRowStripes="1" showColumnStripes="0"/>
</x:table>
</file>

<file path=xl/tables/table6.xml><?xml version="1.0" encoding="utf-8"?>
<x:table xmlns:x="http://schemas.openxmlformats.org/spreadsheetml/2006/main" id="6" name="ContractCatalog" displayName="ContractCatalog" ref="A5:H11" headerRowCount="1" totalsRowCount="0" totalsRowShown="0">
  <x:autoFilter ref="A5:H11"/>
  <x:tableColumns count="8">
    <x:tableColumn id="1" name="Contract ID"/>
    <x:tableColumn id="2" name="Customer and document"/>
    <x:tableColumn id="3" name="Scope and term notes"/>
    <x:tableColumn id="4" name="Term starts"/>
    <x:tableColumn id="5" name="Term ends"/>
    <x:tableColumn id="6" name="Status as of 10/20/26"/>
    <x:tableColumn id="7" name="Source date"/>
    <x:tableColumn id="8" name="Sour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8b243cb11ab4e23" /></Relationships>
</file>

<file path=xl/worksheets/_rels/sheet3.xml.rels>&#65279;<?xml version="1.0" encoding="utf-8"?><Relationships xmlns="http://schemas.openxmlformats.org/package/2006/relationships"><Relationship Type="http://schemas.openxmlformats.org/officeDocument/2006/relationships/table" Target="/xl/tables/table2.xml" Id="R0bd3415d65e74a49" /></Relationships>
</file>

<file path=xl/worksheets/_rels/sheet4.xml.rels>&#65279;<?xml version="1.0" encoding="utf-8"?><Relationships xmlns="http://schemas.openxmlformats.org/package/2006/relationships"><Relationship Type="http://schemas.openxmlformats.org/officeDocument/2006/relationships/comments" Target="/xl/comments1.xml" Id="Re2c1d9815d474179" /><Relationship Type="http://schemas.openxmlformats.org/officeDocument/2006/relationships/vmlDrawing" Target="/xl/drawings/vmldrawing.vml" Id="R12aa7e171e9e4e6a" /><Relationship Type="http://schemas.openxmlformats.org/officeDocument/2006/relationships/table" Target="/xl/tables/table3.xml" Id="R0e10a9688dbb4178" /></Relationships>
</file>

<file path=xl/worksheets/_rels/sheet5.xml.rels>&#65279;<?xml version="1.0" encoding="utf-8"?><Relationships xmlns="http://schemas.openxmlformats.org/package/2006/relationships"><Relationship Type="http://schemas.openxmlformats.org/officeDocument/2006/relationships/comments" Target="/xl/comments2.xml" Id="R8f7d4c8c2ca04c96" /><Relationship Type="http://schemas.openxmlformats.org/officeDocument/2006/relationships/vmlDrawing" Target="/xl/drawings/vmldrawing2.vml" Id="Rb86e9fc385c94ad4" /><Relationship Type="http://schemas.openxmlformats.org/officeDocument/2006/relationships/table" Target="/xl/tables/table4.xml" Id="Rcf14d80b57504792" /></Relationships>
</file>

<file path=xl/worksheets/_rels/sheet6.xml.rels>&#65279;<?xml version="1.0" encoding="utf-8"?><Relationships xmlns="http://schemas.openxmlformats.org/package/2006/relationships"><Relationship Type="http://schemas.openxmlformats.org/officeDocument/2006/relationships/comments" Target="/xl/comments3.xml" Id="Rfec44668ad3a4b0f" /><Relationship Type="http://schemas.openxmlformats.org/officeDocument/2006/relationships/vmlDrawing" Target="/xl/drawings/vmldrawing3.vml" Id="R4f94f24a61724ffc" /><Relationship Type="http://schemas.openxmlformats.org/officeDocument/2006/relationships/table" Target="/xl/tables/table5.xml" Id="R19309edf34cf478c" /></Relationships>
</file>

<file path=xl/worksheets/_rels/sheet7.xml.rels>&#65279;<?xml version="1.0" encoding="utf-8"?><Relationships xmlns="http://schemas.openxmlformats.org/package/2006/relationships"><Relationship Type="http://schemas.openxmlformats.org/officeDocument/2006/relationships/comments" Target="/xl/comments4.xml" Id="Ra0a00bf91c7847bf" /><Relationship Type="http://schemas.openxmlformats.org/officeDocument/2006/relationships/vmlDrawing" Target="/xl/drawings/vmldrawing4.vml" Id="R341af54069e74fac" /><Relationship Type="http://schemas.openxmlformats.org/officeDocument/2006/relationships/table" Target="/xl/tables/table6.xml" Id="Re14eba849424484b"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28.329999923706055" hidden="0" customWidth="1"/>
    <x:col min="2" max="2" width="11.109999656677246" hidden="0" customWidth="1"/>
    <x:col min="3" max="3" width="2.890000104904175" hidden="0" customWidth="1"/>
    <x:col min="4" max="4" width="10" hidden="0" customWidth="1"/>
    <x:col min="5" max="5" width="35" hidden="0" customWidth="1"/>
    <x:col min="6" max="6" width="10.5600004196167" hidden="0" customWidth="1"/>
    <x:col min="7" max="7" width="17.219999313354492" hidden="0" customWidth="1"/>
  </x:cols>
  <x:sheetData>
    <x:row r="1" ht="12" customHeight="1">
      <x:c r="A1" s="2"/>
      <x:c r="B1" s="2"/>
      <x:c r="C1" s="2"/>
      <x:c r="D1" s="2"/>
      <x:c r="E1" s="2"/>
      <x:c r="F1" s="2"/>
      <x:c r="G1" s="2"/>
    </x:row>
    <x:row r="2" ht="22.5" customHeight="1">
      <x:c r="A2" s="3" t="str">
        <x:v>Amergis operating blueprint</x:v>
      </x:c>
      <x:c r="B2" s="2"/>
      <x:c r="C2" s="2"/>
      <x:c r="D2" s="2"/>
      <x:c r="E2" s="2"/>
      <x:c r="F2" s="2"/>
      <x:c r="G2" s="2"/>
    </x:row>
    <x:row r="3" ht="20.25" customHeight="1">
      <x:c r="A3" s="5" t="str">
        <x:v>Public evidence assessed October 20, 2026. Proposed agent design and review decisions are separate from observed duties.</x:v>
      </x:c>
      <x:c r="B3" s="6"/>
      <x:c r="C3" s="6"/>
      <x:c r="D3" s="6"/>
      <x:c r="E3" s="6"/>
      <x:c r="F3" s="6"/>
      <x:c r="G3" s="6"/>
    </x:row>
    <x:row r="4">
      <x:c r="A4" s="2"/>
      <x:c r="B4" s="2"/>
      <x:c r="C4" s="2"/>
      <x:c r="D4" s="2"/>
      <x:c r="E4" s="2"/>
      <x:c r="F4" s="2"/>
      <x:c r="G4" s="2"/>
    </x:row>
    <x:row r="5" ht="21" customHeight="1">
      <x:c r="A5" s="33" t="str">
        <x:v>Evidence inventory</x:v>
      </x:c>
      <x:c r="B5" s="33" t="str">
        <x:v>Records</x:v>
      </x:c>
      <x:c r="C5" s="2"/>
      <x:c r="D5" s="33" t="str">
        <x:v>Mode</x:v>
      </x:c>
      <x:c r="E5" s="33" t="str">
        <x:v>Proposed operating authority</x:v>
      </x:c>
      <x:c r="F5" s="33" t="str">
        <x:v>Tasks</x:v>
      </x:c>
      <x:c r="G5" s="2"/>
    </x:row>
    <x:row r="6" ht="22.5" customHeight="1">
      <x:c r="A6" s="2" t="str">
        <x:v>Role families</x:v>
      </x:c>
      <x:c r="B6" s="35" t="n">
        <x:f>COUNTA('Role catalog'!A6:A25)</x:f>
        <x:v>20</x:v>
      </x:c>
      <x:c r="C6" s="2"/>
      <x:c r="D6" s="2" t="str">
        <x:v>A</x:v>
      </x:c>
      <x:c r="E6" s="2" t="str">
        <x:v>Agent operates within rules</x:v>
      </x:c>
      <x:c r="F6" s="35" t="n">
        <x:f>COUNTIF('Agent tasks'!E6:E68,D6)</x:f>
        <x:v>26</x:v>
      </x:c>
      <x:c r="G6" s="2"/>
    </x:row>
    <x:row r="7" ht="22.5" customHeight="1">
      <x:c r="A7" s="2" t="str">
        <x:v>Public internal postings</x:v>
      </x:c>
      <x:c r="B7" s="35" t="n">
        <x:f>SUM('Role catalog'!C6:C25)</x:f>
        <x:v>79</x:v>
      </x:c>
      <x:c r="C7" s="2"/>
      <x:c r="D7" s="2" t="str">
        <x:v>B</x:v>
      </x:c>
      <x:c r="E7" s="2" t="str">
        <x:v>Agent prepares; person approves</x:v>
      </x:c>
      <x:c r="F7" s="35" t="n">
        <x:f>COUNTIF('Agent tasks'!E6:E68,D7)</x:f>
        <x:v>23</x:v>
      </x:c>
      <x:c r="G7" s="2"/>
    </x:row>
    <x:row r="8" ht="22.5" customHeight="1">
      <x:c r="A8" s="2" t="str">
        <x:v>Mapped operating tasks</x:v>
      </x:c>
      <x:c r="B8" s="35" t="n">
        <x:f>COUNTA('Agent tasks'!A6:A68)</x:f>
        <x:v>63</x:v>
      </x:c>
      <x:c r="C8" s="2"/>
      <x:c r="D8" s="34" t="str">
        <x:v>C</x:v>
      </x:c>
      <x:c r="E8" s="34" t="str">
        <x:v>Person leads; agent assists</x:v>
      </x:c>
      <x:c r="F8" s="36" t="n">
        <x:f>COUNTIF('Agent tasks'!E6:E68,D8)</x:f>
        <x:v>14</x:v>
      </x:c>
      <x:c r="G8" s="2"/>
    </x:row>
    <x:row r="9" ht="22.5" customHeight="1">
      <x:c r="A9" s="2" t="str">
        <x:v>Public contract documents</x:v>
      </x:c>
      <x:c r="B9" s="35" t="n">
        <x:f>COUNTA('Contract catalog'!A6:A11)</x:f>
        <x:v>6</x:v>
      </x:c>
      <x:c r="C9" s="2"/>
      <x:c r="D9" s="2"/>
      <x:c r="E9" s="2"/>
      <x:c r="F9" s="2"/>
      <x:c r="G9" s="2"/>
    </x:row>
    <x:row r="10" ht="22.5" customHeight="1">
      <x:c r="A10" s="34" t="str">
        <x:v>Customer-specific rules</x:v>
      </x:c>
      <x:c r="B10" s="36" t="n">
        <x:f>COUNTA('Contract rules'!A6:A62)</x:f>
        <x:v>57</x:v>
      </x:c>
      <x:c r="C10" s="2"/>
      <x:c r="D10" s="32" t="str">
        <x:v>A requires approved inputs, authority, rules and exception routing.</x:v>
      </x:c>
      <x:c r="E10" s="32"/>
      <x:c r="F10" s="32"/>
      <x:c r="G10" s="32"/>
    </x:row>
    <x:row r="11">
      <x:c r="A11" s="2"/>
      <x:c r="B11" s="2"/>
      <x:c r="C11" s="2"/>
      <x:c r="D11" s="32" t="str">
        <x:v>B and C are proposed design choices; no universal legal rule is implied.</x:v>
      </x:c>
      <x:c r="E11" s="32"/>
      <x:c r="F11" s="32"/>
      <x:c r="G11" s="32"/>
    </x:row>
    <x:row r="12">
      <x:c r="A12" s="2"/>
      <x:c r="B12" s="2"/>
      <x:c r="C12" s="2"/>
      <x:c r="D12" s="2"/>
      <x:c r="E12" s="2"/>
      <x:c r="F12" s="2"/>
      <x:c r="G12" s="2"/>
    </x:row>
    <x:row r="13" ht="21" customHeight="1">
      <x:c r="A13" s="33" t="str">
        <x:v>Implementation review</x:v>
      </x:c>
      <x:c r="B13" s="33" t="str">
        <x:v>Tasks</x:v>
      </x:c>
      <x:c r="C13" s="2"/>
      <x:c r="D13" s="37" t="str">
        <x:v>Review sequence</x:v>
      </x:c>
      <x:c r="E13" s="2"/>
      <x:c r="F13" s="2"/>
      <x:c r="G13" s="2"/>
    </x:row>
    <x:row r="14" ht="22.5" customHeight="1">
      <x:c r="A14" s="2" t="str">
        <x:v>Review complete</x:v>
      </x:c>
      <x:c r="B14" s="35" t="n">
        <x:f>COUNTIF('Implementation review'!G6:G68,"Review complete")</x:f>
        <x:v>0</x:v>
      </x:c>
      <x:c r="C14" s="2"/>
      <x:c r="D14" s="2" t="str">
        <x:v>1. Validate the task boundary and customer-specific rules.</x:v>
      </x:c>
      <x:c r="E14" s="2"/>
      <x:c r="F14" s="2"/>
      <x:c r="G14" s="2"/>
    </x:row>
    <x:row r="15" ht="22.5" customHeight="1">
      <x:c r="A15" s="2" t="str">
        <x:v>Awaiting review</x:v>
      </x:c>
      <x:c r="B15" s="35" t="n">
        <x:f>B17-B14-B16</x:f>
        <x:v>63</x:v>
      </x:c>
      <x:c r="C15" s="2"/>
      <x:c r="D15" s="2" t="str">
        <x:v>2. Assign an accountable owner in Implementation review.</x:v>
      </x:c>
      <x:c r="E15" s="2"/>
      <x:c r="F15" s="2"/>
      <x:c r="G15" s="2"/>
    </x:row>
    <x:row r="16" ht="22.5" customHeight="1">
      <x:c r="A16" s="2" t="str">
        <x:v>Deferred</x:v>
      </x:c>
      <x:c r="B16" s="35" t="n">
        <x:f>COUNTIF('Implementation review'!G6:G68,"Deferred")</x:f>
        <x:v>0</x:v>
      </x:c>
      <x:c r="C16" s="2"/>
      <x:c r="D16" s="2" t="str">
        <x:v>3. Record a decision and measurable acceptance evidence.</x:v>
      </x:c>
      <x:c r="E16" s="2"/>
      <x:c r="F16" s="2"/>
      <x:c r="G16" s="2"/>
    </x:row>
    <x:row r="17" ht="22.5" customHeight="1">
      <x:c r="A17" s="34" t="str">
        <x:v>Total</x:v>
      </x:c>
      <x:c r="B17" s="36" t="n">
        <x:f>COUNTA('Implementation review'!A6:A68)</x:f>
        <x:v>63</x:v>
      </x:c>
      <x:c r="C17" s="2"/>
      <x:c r="D17" s="2" t="str">
        <x:v>4. Prove the workflow in a controlled pilot before expansion.</x:v>
      </x:c>
      <x:c r="E17" s="2"/>
      <x:c r="F17" s="2"/>
      <x:c r="G17" s="2"/>
    </x:row>
    <x:row r="18">
      <x:c r="A18" s="2"/>
      <x:c r="B18" s="2"/>
      <x:c r="C18" s="2"/>
      <x:c r="D18" s="2"/>
      <x:c r="E18" s="2"/>
      <x:c r="F18" s="2"/>
      <x:c r="G18" s="2"/>
    </x:row>
    <x:row r="19">
      <x:c r="A19" s="2"/>
      <x:c r="B19" s="2"/>
      <x:c r="C19" s="2"/>
      <x:c r="D19" s="2"/>
      <x:c r="E19" s="2"/>
      <x:c r="F19" s="2"/>
      <x:c r="G19" s="2"/>
    </x:row>
    <x:row r="20">
      <x:c r="A20" s="37" t="str">
        <x:v>Interpretation</x:v>
      </x:c>
      <x:c r="B20" s="2"/>
      <x:c r="C20" s="2"/>
      <x:c r="D20" s="2"/>
      <x:c r="E20" s="2"/>
      <x:c r="F20" s="2"/>
      <x:c r="G20" s="2"/>
    </x:row>
    <x:row r="21" ht="17.25" customHeight="1">
      <x:c r="A21" s="2" t="str">
        <x:v>Counts describe evidence and designed tasks. They do not measure employees, effort, savings or an automation percentage.</x:v>
      </x:c>
      <x:c r="B21" s="2"/>
      <x:c r="C21" s="2"/>
      <x:c r="D21" s="2"/>
      <x:c r="E21" s="2"/>
      <x:c r="F21" s="2"/>
      <x:c r="G21" s="2"/>
    </x:row>
    <x:row r="22" ht="17.25" customHeight="1">
      <x:c r="A22" s="2"/>
      <x:c r="B22" s="2"/>
      <x:c r="C22" s="2"/>
      <x:c r="D22" s="2"/>
      <x:c r="E22" s="2"/>
      <x:c r="F22" s="2"/>
      <x:c r="G22" s="2"/>
    </x:row>
    <x:row r="23" ht="17.25" customHeight="1">
      <x:c r="A23" s="2" t="str">
        <x:v>Source duties are paraphrased from public postings. Workflow triggers, agent roles, authority, owners and KPIs are proposed.</x:v>
      </x:c>
      <x:c r="B23" s="2"/>
      <x:c r="C23" s="2"/>
      <x:c r="D23" s="2"/>
      <x:c r="E23" s="2"/>
      <x:c r="F23" s="2"/>
      <x:c r="G23" s="2"/>
    </x:row>
    <x:row r="24" ht="17.25" customHeight="1">
      <x:c r="A24" s="2"/>
      <x:c r="B24" s="2"/>
      <x:c r="C24" s="2"/>
      <x:c r="D24" s="2"/>
      <x:c r="E24" s="2"/>
      <x:c r="F24" s="2"/>
      <x:c r="G24" s="2"/>
    </x:row>
    <x:row r="25" ht="17.25" customHeight="1">
      <x:c r="A25" s="2" t="str">
        <x:v>Contract rules are customer-specific. Historical documents remain useful process evidence but are not assumed current.</x:v>
      </x:c>
      <x:c r="B25" s="2"/>
      <x:c r="C25" s="2"/>
      <x:c r="D25" s="2"/>
      <x:c r="E25" s="2"/>
      <x:c r="F25" s="2"/>
      <x:c r="G25" s="2"/>
    </x:row>
    <x:row r="26" ht="17.25" customHeight="1">
      <x:c r="A26" s="2"/>
      <x:c r="B26" s="2"/>
      <x:c r="C26" s="2"/>
      <x:c r="D26" s="2"/>
      <x:c r="E26" s="2"/>
      <x:c r="F26" s="2"/>
      <x:c r="G26" s="2"/>
    </x:row>
    <x:row r="27" ht="17.25" customHeight="1">
      <x:c r="A27" s="2" t="str">
        <x:v>Source cells retain full URLs in Excel notes. Role catalog preserves technology mentions and their evidentiary limits.</x:v>
      </x:c>
      <x:c r="B27" s="2"/>
      <x:c r="C27" s="2"/>
      <x:c r="D27" s="2"/>
      <x:c r="E27" s="2"/>
      <x:c r="F27" s="2"/>
      <x:c r="G27" s="2"/>
    </x:row>
    <x:row r="28" ht="17.25" customHeight="1">
      <x:c r="A28" s="2"/>
      <x:c r="B28" s="2"/>
      <x:c r="C28" s="2"/>
      <x:c r="D28" s="2"/>
      <x:c r="E28" s="2"/>
      <x:c r="F28" s="2"/>
      <x:c r="G28" s="2"/>
    </x:row>
    <x:row r="29" ht="17.25" customHeight="1">
      <x:c r="A29" s="2" t="str">
        <x:v>The workbook supports review of a new operating model. It does not recover Amergis's private databases or prove full autonomy.</x:v>
      </x:c>
      <x:c r="B29" s="2"/>
      <x:c r="C29" s="2"/>
      <x:c r="D29" s="2"/>
      <x:c r="E29" s="2"/>
      <x:c r="F29" s="2"/>
      <x:c r="G29" s="2"/>
    </x:row>
    <x:row r="30" ht="17.25" customHeight="1">
      <x:c r="A30" s="2"/>
      <x:c r="B30" s="2"/>
      <x:c r="C30" s="2"/>
      <x:c r="D30" s="2"/>
      <x:c r="E30" s="2"/>
      <x:c r="F30" s="2"/>
      <x:c r="G30" s="2"/>
    </x:row>
    <x:row r="31">
      <x:c r="A31" s="2"/>
      <x:c r="B31" s="2"/>
      <x:c r="C31" s="2"/>
      <x:c r="D31" s="2"/>
      <x:c r="E31" s="2"/>
      <x:c r="F31" s="2"/>
      <x:c r="G31" s="2"/>
    </x:row>
    <x:row r="32">
      <x:c r="A32" s="2"/>
      <x:c r="B32" s="2"/>
      <x:c r="C32" s="2"/>
      <x:c r="D32" s="2"/>
      <x:c r="E32" s="2"/>
      <x:c r="F32" s="2"/>
      <x:c r="G32" s="2"/>
    </x:row>
    <x:row r="33">
      <x:c r="A33" s="2"/>
      <x:c r="B33" s="2"/>
      <x:c r="C33" s="2"/>
      <x:c r="D33" s="2"/>
      <x:c r="E33" s="2"/>
      <x:c r="F33" s="2"/>
      <x:c r="G33" s="2"/>
    </x:row>
    <x:row r="34">
      <x:c r="A34" s="2"/>
      <x:c r="B34" s="2"/>
      <x:c r="C34" s="2"/>
      <x:c r="D34" s="2"/>
      <x:c r="E34" s="2"/>
      <x:c r="F34" s="2"/>
      <x:c r="G34" s="2"/>
    </x:row>
  </x:sheetData>
  <x:pageMargins left="0.7" right="0.7" top="0.75" bottom="0.75" header="0.3" footer="0.3"/>
</x:worksheet>
</file>

<file path=xl/worksheets/sheet2.xml><?xml version="1.0" encoding="utf-8"?>
<x:worksheet xmlns:x="http://schemas.openxmlformats.org/spreadsheetml/2006/main">
  <x:sheetPr>
    <x:tabColor rgb="FF17324D"/>
  </x:sheetPr>
  <x:sheetViews>
    <x:sheetView showGridLines="0" workbookViewId="0">
      <x:pane xSplit="1" ySplit="5" topLeftCell="B6" activePane="bottomRight" state="frozen"/>
    </x:sheetView>
  </x:sheetViews>
  <x:sheetFormatPr defaultRowHeight="15"/>
  <x:cols>
    <x:col min="1" max="1" width="7.329999923706055" hidden="0" customWidth="1"/>
    <x:col min="2" max="2" width="21.110000610351562" hidden="0" customWidth="1"/>
    <x:col min="3" max="3" width="30.559999465942383" hidden="0" customWidth="1"/>
    <x:col min="4" max="4" width="20" hidden="0" customWidth="1"/>
    <x:col min="5" max="5" width="8.329999923706055" hidden="0" customWidth="1"/>
    <x:col min="6" max="6" width="21.110000610351562" hidden="0" customWidth="1"/>
    <x:col min="7" max="7" width="42.220001220703125" hidden="0" customWidth="1"/>
  </x:cols>
  <x:sheetData>
    <x:row r="1" ht="12" customHeight="1">
      <x:c r="A1" s="2"/>
      <x:c r="B1" s="2"/>
      <x:c r="C1" s="2"/>
      <x:c r="D1" s="2"/>
      <x:c r="E1" s="2"/>
      <x:c r="F1" s="2"/>
      <x:c r="G1" s="2"/>
    </x:row>
    <x:row r="2" ht="22.5" customHeight="1">
      <x:c r="A2" s="3" t="str">
        <x:v>Agent task matrix</x:v>
      </x:c>
      <x:c r="B2" s="2"/>
      <x:c r="C2" s="2"/>
      <x:c r="D2" s="2"/>
      <x:c r="E2" s="2"/>
      <x:c r="F2" s="2"/>
      <x:c r="G2" s="2"/>
    </x:row>
    <x:row r="3" ht="20.25" customHeight="1">
      <x:c r="A3" s="5" t="str">
        <x:v>A = operates within rules. B = person approves. C = person leads. Proposed authority is not Amergis policy.</x:v>
      </x:c>
      <x:c r="B3" s="6"/>
      <x:c r="C3" s="6"/>
      <x:c r="D3" s="6"/>
      <x:c r="E3" s="6"/>
      <x:c r="F3" s="6"/>
      <x:c r="G3" s="6"/>
    </x:row>
    <x:row r="4">
      <x:c r="A4" s="2"/>
      <x:c r="B4" s="2"/>
      <x:c r="C4" s="2"/>
      <x:c r="D4" s="2"/>
      <x:c r="E4" s="2"/>
      <x:c r="F4" s="2"/>
      <x:c r="G4" s="2"/>
    </x:row>
    <x:row r="5" ht="27" customHeight="1">
      <x:c r="A5" s="15" t="str">
        <x:v>Task ID</x:v>
      </x:c>
      <x:c r="B5" s="16" t="str">
        <x:v>Role family</x:v>
      </x:c>
      <x:c r="C5" s="16" t="str">
        <x:v>Task</x:v>
      </x:c>
      <x:c r="D5" s="16" t="str">
        <x:v>Proposed agent</x:v>
      </x:c>
      <x:c r="E5" s="16" t="str">
        <x:v>Mode</x:v>
      </x:c>
      <x:c r="F5" s="16" t="str">
        <x:v>Accountable human</x:v>
      </x:c>
      <x:c r="G5" s="17" t="str">
        <x:v>Decision boundary and exception</x:v>
      </x:c>
    </x:row>
    <x:row r="6" ht="77.25" customHeight="1">
      <x:c r="A6" s="19" t="str">
        <x:v>T001</x:v>
      </x:c>
      <x:c r="B6" s="19" t="str">
        <x:v>R01  Recruiting and placement</x:v>
      </x:c>
      <x:c r="C6" s="19" t="str">
        <x:v>Candidate sourcing and outreach preparation</x:v>
      </x:c>
      <x:c r="D6" s="19" t="str">
        <x:v>Sourcing agent</x:v>
      </x:c>
      <x:c r="E6" s="21" t="str">
        <x:v>B</x:v>
      </x:c>
      <x:c r="F6" s="19" t="str">
        <x:v>Recruiting lead</x:v>
      </x:c>
      <x:c r="G6" s="19" t="str">
        <x:v>Suggest relevant prospects without making selection/rejection decisions.
Reason: Relevance ranking and outreach wording affect candidate opportunity; recruiter reviews.
Exception: Ambiguous credentials, stale consent or sensitive criteria to recruiter.</x:v>
      </x:c>
    </x:row>
    <x:row r="7" ht="77.25" customHeight="1">
      <x:c r="A7" s="20" t="str">
        <x:v>T002</x:v>
      </x:c>
      <x:c r="B7" s="20" t="str">
        <x:v>R01  Recruiting and placement</x:v>
      </x:c>
      <x:c r="C7" s="20" t="str">
        <x:v>Inbound recruiting service and scheduling</x:v>
      </x:c>
      <x:c r="D7" s="20" t="str">
        <x:v>Candidate service agent</x:v>
      </x:c>
      <x:c r="E7" s="22" t="str">
        <x:v>A</x:v>
      </x:c>
      <x:c r="F7" s="20" t="str">
        <x:v>Recruiting operations owner</x:v>
      </x:c>
      <x:c r="G7" s="20" t="str">
        <x:v>Answer known administrative questions; do not decide qualification.
Reason: Administrative routing and appointment scheduling can follow published rules.
Exception: Pay dispute, complaint or clinical question to authorized specialist.</x:v>
      </x:c>
    </x:row>
    <x:row r="8" ht="66" customHeight="1">
      <x:c r="A8" s="19" t="str">
        <x:v>T003</x:v>
      </x:c>
      <x:c r="B8" s="19" t="str">
        <x:v>R01  Recruiting and placement</x:v>
      </x:c>
      <x:c r="C8" s="19" t="str">
        <x:v>Application and interview preparation</x:v>
      </x:c>
      <x:c r="D8" s="19" t="str">
        <x:v>Screening support agent</x:v>
      </x:c>
      <x:c r="E8" s="21" t="str">
        <x:v>B</x:v>
      </x:c>
      <x:c r="F8" s="19" t="str">
        <x:v>Recruiter / hiring reviewer</x:v>
      </x:c>
      <x:c r="G8" s="19" t="str">
        <x:v>Flag evidence gaps; human evaluates suitability.
Reason: Suitability and employment outcomes require accountable review.
Exception: Conflicting credentials or accommodation request to appropriate human owner.</x:v>
      </x:c>
    </x:row>
    <x:row r="9" ht="77.25" customHeight="1">
      <x:c r="A9" s="20" t="str">
        <x:v>T004</x:v>
      </x:c>
      <x:c r="B9" s="20" t="str">
        <x:v>R01  Recruiting and placement</x:v>
      </x:c>
      <x:c r="C9" s="20" t="str">
        <x:v>Pay and placement proposal</x:v>
      </x:c>
      <x:c r="D9" s="20" t="str">
        <x:v>Placement agent</x:v>
      </x:c>
      <x:c r="E9" s="22" t="str">
        <x:v>B</x:v>
      </x:c>
      <x:c r="F9" s="20" t="str">
        <x:v>Recruiter with finance/account approver</x:v>
      </x:c>
      <x:c r="G9" s="20" t="str">
        <x:v>Recommend terms within approved bounds; no unilateral offer or acceptance.
Reason: Compensation and commitments need explicit authorized acceptance.
Exception: Out-of-band pay, contract variation or dispute to finance/contracts.</x:v>
      </x:c>
    </x:row>
    <x:row r="10" ht="77.25" customHeight="1">
      <x:c r="A10" s="19" t="str">
        <x:v>T005</x:v>
      </x:c>
      <x:c r="B10" s="19" t="str">
        <x:v>R01  Recruiting and placement</x:v>
      </x:c>
      <x:c r="C10" s="19" t="str">
        <x:v>Employment decision and negotiation</x:v>
      </x:c>
      <x:c r="D10" s="19" t="str">
        <x:v>Recruiting decision support agent</x:v>
      </x:c>
      <x:c r="E10" s="21" t="str">
        <x:v>C</x:v>
      </x:c>
      <x:c r="F10" s="19" t="str">
        <x:v>Recruiting lead / client hiring owner</x:v>
      </x:c>
      <x:c r="G10" s="19" t="str">
        <x:v>Choose placement outcome and negotiate individual exceptions.
Reason: The blueprint preserves human ownership for consequential employment decisions.
Exception: Disputed assessment, exception or discrimination concern to HR/legal.</x:v>
      </x:c>
    </x:row>
    <x:row r="11" ht="77.25" customHeight="1">
      <x:c r="A11" s="20" t="str">
        <x:v>T006</x:v>
      </x:c>
      <x:c r="B11" s="20" t="str">
        <x:v>R01  Recruiting and placement</x:v>
      </x:c>
      <x:c r="C11" s="20" t="str">
        <x:v>Placement support and retention triage</x:v>
      </x:c>
      <x:c r="D11" s="20" t="str">
        <x:v>Worker service agent</x:v>
      </x:c>
      <x:c r="E11" s="22" t="str">
        <x:v>A</x:v>
      </x:c>
      <x:c r="F11" s="20" t="str">
        <x:v>Recruiting service owner</x:v>
      </x:c>
      <x:c r="G11" s="20" t="str">
        <x:v>Resolve factual status requests and route substantive issues.
Reason: Routine status and routing can be bounded; no wage or grievance decision.
Exception: Missing wages, harassment or care-safety issue gets immediate human routing.</x:v>
      </x:c>
    </x:row>
    <x:row r="12" ht="77.25" customHeight="1">
      <x:c r="A12" s="19" t="str">
        <x:v>T007</x:v>
      </x:c>
      <x:c r="B12" s="19" t="str">
        <x:v>R01  Recruiting and placement</x:v>
      </x:c>
      <x:c r="C12" s="19" t="str">
        <x:v>Recruiting operating reports and training administration</x:v>
      </x:c>
      <x:c r="D12" s="19" t="str">
        <x:v>Recruiting operations agent</x:v>
      </x:c>
      <x:c r="E12" s="21" t="str">
        <x:v>A</x:v>
      </x:c>
      <x:c r="F12" s="19" t="str">
        <x:v>Recruiting operations manager</x:v>
      </x:c>
      <x:c r="G12" s="19" t="str">
        <x:v>Apply approved reporting definitions and reminder intervals.
Reason: Aggregation and reminders follow defined rules.
Exception: Suspicious metrics or promotion assessment to manager.</x:v>
      </x:c>
    </x:row>
    <x:row r="13" ht="66" customHeight="1">
      <x:c r="A13" s="20" t="str">
        <x:v>T008</x:v>
      </x:c>
      <x:c r="B13" s="20" t="str">
        <x:v>R02  Clinical education and quality improvement</x:v>
      </x:c>
      <x:c r="C13" s="20" t="str">
        <x:v>Facility clinical knowledge preparation</x:v>
      </x:c>
      <x:c r="D13" s="20" t="str">
        <x:v>Clinical knowledge agent</x:v>
      </x:c>
      <x:c r="E13" s="22" t="str">
        <x:v>B</x:v>
      </x:c>
      <x:c r="F13" s="20" t="str">
        <x:v>Licensed clinical education lead</x:v>
      </x:c>
      <x:c r="G13" s="20" t="str">
        <x:v>Propose educational content for clinical review.
Reason: Clinical instructions require qualified review before use.
Exception: Conflicting clinical standards to facility/clinical leadership.</x:v>
      </x:c>
    </x:row>
    <x:row r="14" ht="66" customHeight="1">
      <x:c r="A14" s="19" t="str">
        <x:v>T009</x:v>
      </x:c>
      <x:c r="B14" s="19" t="str">
        <x:v>R02  Clinical education and quality improvement</x:v>
      </x:c>
      <x:c r="C14" s="19" t="str">
        <x:v>Clinical competency assessment</x:v>
      </x:c>
      <x:c r="D14" s="19" t="str">
        <x:v>Clinical assessment assistant</x:v>
      </x:c>
      <x:c r="E14" s="21" t="str">
        <x:v>C</x:v>
      </x:c>
      <x:c r="F14" s="19" t="str">
        <x:v>Licensed clinical lead</x:v>
      </x:c>
      <x:c r="G14" s="19" t="str">
        <x:v>Assess competence and clinical critical thinking.
Reason: Clinical competence is a professional judgment with patient-safety implications.
Exception: Uncertain competence or safety concern to clinical leadership.</x:v>
      </x:c>
    </x:row>
    <x:row r="15" ht="77.25" customHeight="1">
      <x:c r="A15" s="20" t="str">
        <x:v>T010</x:v>
      </x:c>
      <x:c r="B15" s="20" t="str">
        <x:v>R02  Clinical education and quality improvement</x:v>
      </x:c>
      <x:c r="C15" s="20" t="str">
        <x:v>Orientation and education tracking</x:v>
      </x:c>
      <x:c r="D15" s="20" t="str">
        <x:v>Clinical administration agent</x:v>
      </x:c>
      <x:c r="E15" s="22" t="str">
        <x:v>A</x:v>
      </x:c>
      <x:c r="F15" s="20" t="str">
        <x:v>Clinical education lead</x:v>
      </x:c>
      <x:c r="G15" s="20" t="str">
        <x:v>Log approved facts without inventing competency outcomes.
Reason: Records and reminders can execute from validated evidence.
Exception: Missing sign-off or contradictory completion record to reviewer.</x:v>
      </x:c>
    </x:row>
    <x:row r="16" ht="77.25" customHeight="1">
      <x:c r="A16" s="19" t="str">
        <x:v>T011</x:v>
      </x:c>
      <x:c r="B16" s="19" t="str">
        <x:v>R02  Clinical education and quality improvement</x:v>
      </x:c>
      <x:c r="C16" s="19" t="str">
        <x:v>Clinician coaching and concern resolution</x:v>
      </x:c>
      <x:c r="D16" s="19" t="str">
        <x:v>Clinical case assistant</x:v>
      </x:c>
      <x:c r="E16" s="21" t="str">
        <x:v>C</x:v>
      </x:c>
      <x:c r="F16" s="19" t="str">
        <x:v>Licensed clinical lead / HR owner</x:v>
      </x:c>
      <x:c r="G16" s="19" t="str">
        <x:v>Choose clinical advice and response to workplace/safety concerns.
Reason: Advice, sensitive disputes and remediation remain human led.
Exception: Patient safety or serious mistreatment to designated urgent response path.</x:v>
      </x:c>
    </x:row>
    <x:row r="17" ht="54.75" customHeight="1">
      <x:c r="A17" s="20" t="str">
        <x:v>T012</x:v>
      </x:c>
      <x:c r="B17" s="20" t="str">
        <x:v>R03  Program and process improvement management</x:v>
      </x:c>
      <x:c r="C17" s="20" t="str">
        <x:v>Project plan and status operations</x:v>
      </x:c>
      <x:c r="D17" s="20" t="str">
        <x:v>Program coordination agent</x:v>
      </x:c>
      <x:c r="E17" s="22" t="str">
        <x:v>A</x:v>
      </x:c>
      <x:c r="F17" s="20" t="str">
        <x:v>Program manager</x:v>
      </x:c>
      <x:c r="G17" s="20" t="str">
        <x:v>Calculate schedule variance against approved plan.
Reason: Tracking follows approved plans.
Exception: Unowned milestone or resource conflict to program manager.</x:v>
      </x:c>
    </x:row>
    <x:row r="18" ht="54.75" customHeight="1">
      <x:c r="A18" s="19" t="str">
        <x:v>T013</x:v>
      </x:c>
      <x:c r="B18" s="19" t="str">
        <x:v>R03  Program and process improvement management</x:v>
      </x:c>
      <x:c r="C18" s="19" t="str">
        <x:v>Process improvement recommendation</x:v>
      </x:c>
      <x:c r="D18" s="19" t="str">
        <x:v>Process improvement agent</x:v>
      </x:c>
      <x:c r="E18" s="21" t="str">
        <x:v>B</x:v>
      </x:c>
      <x:c r="F18" s="19" t="str">
        <x:v>Program manager / executive sponsor</x:v>
      </x:c>
      <x:c r="G18" s="19" t="str">
        <x:v>Propose priorities and workflow changes.
Reason: Cross-team tradeoffs need human acceptance.
Exception: Budget, role or service changes to sponsor.</x:v>
      </x:c>
    </x:row>
    <x:row r="19" ht="66" customHeight="1">
      <x:c r="A19" s="20" t="str">
        <x:v>T014</x:v>
      </x:c>
      <x:c r="B19" s="20" t="str">
        <x:v>R04  Billing reimbursement and collections</x:v>
      </x:c>
      <x:c r="C19" s="20" t="str">
        <x:v>Billable revenue validation</x:v>
      </x:c>
      <x:c r="D19" s="20" t="str">
        <x:v>Revenue validation agent</x:v>
      </x:c>
      <x:c r="E19" s="22" t="str">
        <x:v>A</x:v>
      </x:c>
      <x:c r="F19" s="20" t="str">
        <x:v>Revenue cycle owner</x:v>
      </x:c>
      <x:c r="G19" s="20" t="str">
        <x:v>Apply approved arithmetic and completeness rules.
Reason: Deterministic validation uses source records and refuses mismatches.
Exception: Missing approval, disputed hours or exhausted PO to billing owner.</x:v>
      </x:c>
    </x:row>
    <x:row r="20" ht="77.25" customHeight="1">
      <x:c r="A20" s="19" t="str">
        <x:v>T015</x:v>
      </x:c>
      <x:c r="B20" s="19" t="str">
        <x:v>R04  Billing reimbursement and collections</x:v>
      </x:c>
      <x:c r="C20" s="19" t="str">
        <x:v>Invoice creation and delivery</x:v>
      </x:c>
      <x:c r="D20" s="19" t="str">
        <x:v>Billing agent</x:v>
      </x:c>
      <x:c r="E20" s="21" t="str">
        <x:v>A</x:v>
      </x:c>
      <x:c r="F20" s="19" t="str">
        <x:v>Billing manager</x:v>
      </x:c>
      <x:c r="G20" s="19" t="str">
        <x:v>Produce and send invoices only under preapproved billing rules.
Reason: Routine invoices can be created from approved source transactions.
Exception: New charge type, missing instruction or client dispute to manager.</x:v>
      </x:c>
    </x:row>
    <x:row r="21" ht="77.25" customHeight="1">
      <x:c r="A21" s="20" t="str">
        <x:v>T016</x:v>
      </x:c>
      <x:c r="B21" s="20" t="str">
        <x:v>R04  Billing reimbursement and collections</x:v>
      </x:c>
      <x:c r="C21" s="20" t="str">
        <x:v>Invoice corrections and credit proposals</x:v>
      </x:c>
      <x:c r="D21" s="20" t="str">
        <x:v>Billing exception agent</x:v>
      </x:c>
      <x:c r="E21" s="22" t="str">
        <x:v>B</x:v>
      </x:c>
      <x:c r="F21" s="20" t="str">
        <x:v>Billing/credit approver</x:v>
      </x:c>
      <x:c r="G21" s="20" t="str">
        <x:v>Recommend changes; human approves financial adjustments.
Reason: Credits and adjustments can alter customer balances.
Exception: Disputed service or material write-off to finance/contracts.</x:v>
      </x:c>
    </x:row>
    <x:row r="22" ht="77.25" customHeight="1">
      <x:c r="A22" s="19" t="str">
        <x:v>T017</x:v>
      </x:c>
      <x:c r="B22" s="19" t="str">
        <x:v>R04  Billing reimbursement and collections</x:v>
      </x:c>
      <x:c r="C22" s="19" t="str">
        <x:v>Routine collections and cash matching</x:v>
      </x:c>
      <x:c r="D22" s="19" t="str">
        <x:v>Collections and cash agent</x:v>
      </x:c>
      <x:c r="E22" s="21" t="str">
        <x:v>A</x:v>
      </x:c>
      <x:c r="F22" s="19" t="str">
        <x:v>Receivables manager</x:v>
      </x:c>
      <x:c r="G22" s="19" t="str">
        <x:v>Send standard reminders; auto-post only exact approved matching rules.
Reason: Bounded reminders and exact matches are repetitive administrative tasks.
Exception: Short pay, chargeback, duplicate or disputed balance to human.</x:v>
      </x:c>
    </x:row>
    <x:row r="23" ht="77.25" customHeight="1">
      <x:c r="A23" s="20" t="str">
        <x:v>T018</x:v>
      </x:c>
      <x:c r="B23" s="20" t="str">
        <x:v>R04  Billing reimbursement and collections</x:v>
      </x:c>
      <x:c r="C23" s="20" t="str">
        <x:v>Client invoicing setup</x:v>
      </x:c>
      <x:c r="D23" s="20" t="str">
        <x:v>Billing setup agent</x:v>
      </x:c>
      <x:c r="E23" s="22" t="str">
        <x:v>B</x:v>
      </x:c>
      <x:c r="F23" s="20" t="str">
        <x:v>Billing implementation owner</x:v>
      </x:c>
      <x:c r="G23" s="20" t="str">
        <x:v>Suggest configuration; client/owner validates new account rules.
Reason: A wrong payer or invoice rule can systematically misbill.
Exception: Conflicting terms or bank changes to verification/finance.</x:v>
      </x:c>
    </x:row>
    <x:row r="24" ht="77.25" customHeight="1">
      <x:c r="A24" s="19" t="str">
        <x:v>T019</x:v>
      </x:c>
      <x:c r="B24" s="19" t="str">
        <x:v>R05  Workers compensation claims</x:v>
      </x:c>
      <x:c r="C24" s="19" t="str">
        <x:v>Claims chronology and deadline administration</x:v>
      </x:c>
      <x:c r="D24" s="19" t="str">
        <x:v>Claims administration agent</x:v>
      </x:c>
      <x:c r="E24" s="21" t="str">
        <x:v>A</x:v>
      </x:c>
      <x:c r="F24" s="19" t="str">
        <x:v>Claims examiner</x:v>
      </x:c>
      <x:c r="G24" s="19" t="str">
        <x:v>Record dates and flag deadlines; do not derive legal deadlines without review.
Reason: Administrative tracking can follow reviewed dates and permissions.
Exception: Ambiguous legal date or missing correspondence to examiner.</x:v>
      </x:c>
    </x:row>
    <x:row r="25" ht="77.25" customHeight="1">
      <x:c r="A25" s="20" t="str">
        <x:v>T020</x:v>
      </x:c>
      <x:c r="B25" s="20" t="str">
        <x:v>R05  Workers compensation claims</x:v>
      </x:c>
      <x:c r="C25" s="20" t="str">
        <x:v>Reserve and claim financial analysis</x:v>
      </x:c>
      <x:c r="D25" s="20" t="str">
        <x:v>Claims financial assistant</x:v>
      </x:c>
      <x:c r="E25" s="22" t="str">
        <x:v>B</x:v>
      </x:c>
      <x:c r="F25" s="20" t="str">
        <x:v>Claims examiner / authorized manager</x:v>
      </x:c>
      <x:c r="G25" s="20" t="str">
        <x:v>Propose reserve change and rationale; no autonomous authorization.
Reason: Reserves and settlements materially affect liabilities.
Exception: Large reserve change or uncertain liability to manager/legal.</x:v>
      </x:c>
    </x:row>
    <x:row r="26" ht="77.25" customHeight="1">
      <x:c r="A26" s="19" t="str">
        <x:v>T021</x:v>
      </x:c>
      <x:c r="B26" s="19" t="str">
        <x:v>R05  Workers compensation claims</x:v>
      </x:c>
      <x:c r="C26" s="19" t="str">
        <x:v>Claim resolution and employee support</x:v>
      </x:c>
      <x:c r="D26" s="19" t="str">
        <x:v>Claims case assistant</x:v>
      </x:c>
      <x:c r="E26" s="21" t="str">
        <x:v>C</x:v>
      </x:c>
      <x:c r="F26" s="19" t="str">
        <x:v>Claims examiner with legal/benefits</x:v>
      </x:c>
      <x:c r="G26" s="19" t="str">
        <x:v>Determine settlement, legal representation and individual duty changes.
Reason: Legal and medical/employment judgment requires designated humans.
Exception: Litigation, disputed restrictions or serious injury to claims/legal/medical owner.</x:v>
      </x:c>
    </x:row>
    <x:row r="27" ht="66" customHeight="1">
      <x:c r="A27" s="20" t="str">
        <x:v>T022</x:v>
      </x:c>
      <x:c r="B27" s="20" t="str">
        <x:v>R06  Internal communications and intranet</x:v>
      </x:c>
      <x:c r="C27" s="20" t="str">
        <x:v>Internal content drafting and audience plan</x:v>
      </x:c>
      <x:c r="D27" s="20" t="str">
        <x:v>Internal communications agent</x:v>
      </x:c>
      <x:c r="E27" s="22" t="str">
        <x:v>B</x:v>
      </x:c>
      <x:c r="F27" s="20" t="str">
        <x:v>Communications owner</x:v>
      </x:c>
      <x:c r="G27" s="20" t="str">
        <x:v>Recommend communication and targeting for review.
Reason: Internal messages may concern sensitive company or workforce issues.
Exception: HR, legal or clinical assertions to relevant reviewer.</x:v>
      </x:c>
    </x:row>
    <x:row r="28" ht="77.25" customHeight="1">
      <x:c r="A28" s="19" t="str">
        <x:v>T023</x:v>
      </x:c>
      <x:c r="B28" s="19" t="str">
        <x:v>R06  Internal communications and intranet</x:v>
      </x:c>
      <x:c r="C28" s="19" t="str">
        <x:v>Approved intranet publishing and content lifecycle</x:v>
      </x:c>
      <x:c r="D28" s="19" t="str">
        <x:v>Knowledge publishing agent</x:v>
      </x:c>
      <x:c r="E28" s="21" t="str">
        <x:v>A</x:v>
      </x:c>
      <x:c r="F28" s="19" t="str">
        <x:v>Intranet owner</x:v>
      </x:c>
      <x:c r="G28" s="19" t="str">
        <x:v>Execute approved publishing/expiry rules, preserving audit history.
Reason: Publication of approved content is bounded execution.
Exception: Permission change or ambiguous retention rule to owner.</x:v>
      </x:c>
    </x:row>
    <x:row r="29" ht="66" customHeight="1">
      <x:c r="A29" s="20" t="str">
        <x:v>T024</x:v>
      </x:c>
      <x:c r="B29" s="20" t="str">
        <x:v>R06  Internal communications and intranet</x:v>
      </x:c>
      <x:c r="C29" s="20" t="str">
        <x:v>Intranet analytics and improvement proposals</x:v>
      </x:c>
      <x:c r="D29" s="20" t="str">
        <x:v>Knowledge quality agent</x:v>
      </x:c>
      <x:c r="E29" s="22" t="str">
        <x:v>B</x:v>
      </x:c>
      <x:c r="F29" s="20" t="str">
        <x:v>Communications/intranet owner</x:v>
      </x:c>
      <x:c r="G29" s="20" t="str">
        <x:v>Propose information-architecture changes.
Reason: Changes to access/navigation need content-owner validation.
Exception: Confidential content visibility to security/content owner.</x:v>
      </x:c>
    </x:row>
    <x:row r="30" ht="66" customHeight="1">
      <x:c r="A30" s="19" t="str">
        <x:v>T025</x:v>
      </x:c>
      <x:c r="B30" s="19" t="str">
        <x:v>R07  MSP revenue operations leadership</x:v>
      </x:c>
      <x:c r="C30" s="19" t="str">
        <x:v>MSP revenue operations dashboard</x:v>
      </x:c>
      <x:c r="D30" s="19" t="str">
        <x:v>MSP finance operations agent</x:v>
      </x:c>
      <x:c r="E30" s="21" t="str">
        <x:v>A</x:v>
      </x:c>
      <x:c r="F30" s="19" t="str">
        <x:v>Operations support manager</x:v>
      </x:c>
      <x:c r="G30" s="19" t="str">
        <x:v>Calculate and flag approved thresholds.
Reason: Reporting uses deterministic ledger aggregation.
Exception: Reconciliation break or missing ledger data to finance.</x:v>
      </x:c>
    </x:row>
    <x:row r="31" ht="77.25" customHeight="1">
      <x:c r="A31" s="20" t="str">
        <x:v>T026</x:v>
      </x:c>
      <x:c r="B31" s="20" t="str">
        <x:v>R07  MSP revenue operations leadership</x:v>
      </x:c>
      <x:c r="C31" s="20" t="str">
        <x:v>MSP customer billing implementation</x:v>
      </x:c>
      <x:c r="D31" s="20" t="str">
        <x:v>MSP billing configuration agent</x:v>
      </x:c>
      <x:c r="E31" s="22" t="str">
        <x:v>B</x:v>
      </x:c>
      <x:c r="F31" s="20" t="str">
        <x:v>Operations support manager</x:v>
      </x:c>
      <x:c r="G31" s="20" t="str">
        <x:v>Recommend configuration; finance signs off test results.
Reason: Client-specific configuration creates repeated financial consequences.
Exception: Contract ambiguity or payment dependency to finance/contracts.</x:v>
      </x:c>
    </x:row>
    <x:row r="32" ht="77.25" customHeight="1">
      <x:c r="A32" s="19" t="str">
        <x:v>T027</x:v>
      </x:c>
      <x:c r="B32" s="19" t="str">
        <x:v>R07  MSP revenue operations leadership</x:v>
      </x:c>
      <x:c r="C32" s="19" t="str">
        <x:v>Escalated payer and supplier-payment decisions</x:v>
      </x:c>
      <x:c r="D32" s="19" t="str">
        <x:v>MSP collections assistant</x:v>
      </x:c>
      <x:c r="E32" s="21" t="str">
        <x:v>C</x:v>
      </x:c>
      <x:c r="F32" s="19" t="str">
        <x:v>Finance/operations manager</x:v>
      </x:c>
      <x:c r="G32" s="19" t="str">
        <x:v>Choose remedies, payment holds/releases and cash-risk response.
Reason: Cash-risk tradeoffs and supplier commitments require authorized judgment.
Exception: Material exposure or contractual default to controller/legal.</x:v>
      </x:c>
    </x:row>
    <x:row r="33" ht="54.75" customHeight="1">
      <x:c r="A33" s="20" t="str">
        <x:v>T028</x:v>
      </x:c>
      <x:c r="B33" s="20" t="str">
        <x:v>R08  Financial analysis</x:v>
      </x:c>
      <x:c r="C33" s="20" t="str">
        <x:v>Financial reporting production</x:v>
      </x:c>
      <x:c r="D33" s="20" t="str">
        <x:v>FP&amp;A reporting agent</x:v>
      </x:c>
      <x:c r="E33" s="22" t="str">
        <x:v>A</x:v>
      </x:c>
      <x:c r="F33" s="20" t="str">
        <x:v>Financial analyst owner</x:v>
      </x:c>
      <x:c r="G33" s="20" t="str">
        <x:v>Apply established report calculations.
Reason: Repeatable reporting can run on controlled data.
Exception: Unreconciled balances to controller.</x:v>
      </x:c>
    </x:row>
    <x:row r="34" ht="77.25" customHeight="1">
      <x:c r="A34" s="19" t="str">
        <x:v>T029</x:v>
      </x:c>
      <x:c r="B34" s="19" t="str">
        <x:v>R08  Financial analysis</x:v>
      </x:c>
      <x:c r="C34" s="19" t="str">
        <x:v>Forecast and profitability recommendations</x:v>
      </x:c>
      <x:c r="D34" s="19" t="str">
        <x:v>FP&amp;A analysis agent</x:v>
      </x:c>
      <x:c r="E34" s="21" t="str">
        <x:v>B</x:v>
      </x:c>
      <x:c r="F34" s="19" t="str">
        <x:v>Finance analyst / controller</x:v>
      </x:c>
      <x:c r="G34" s="19" t="str">
        <x:v>Propose assumptions and actions for financial review.
Reason: Forecasts and business actions depend on uncertain assumptions.
Exception: Material assumption change or resource consequence to controller.</x:v>
      </x:c>
    </x:row>
    <x:row r="35" ht="77.25" customHeight="1">
      <x:c r="A35" s="20" t="str">
        <x:v>T030</x:v>
      </x:c>
      <x:c r="B35" s="20" t="str">
        <x:v>R09  Local business development and recruiting leadership</x:v>
      </x:c>
      <x:c r="C35" s="20" t="str">
        <x:v>Market/account research and proposal preparation</x:v>
      </x:c>
      <x:c r="D35" s="20" t="str">
        <x:v>Account development agent</x:v>
      </x:c>
      <x:c r="E35" s="22" t="str">
        <x:v>B</x:v>
      </x:c>
      <x:c r="F35" s="20" t="str">
        <x:v>Business development manager</x:v>
      </x:c>
      <x:c r="G35" s="20" t="str">
        <x:v>Propose targets and offer design; humans validate commitments.
Reason: Commercial claims and account strategy need validation.
Exception: Unverified capability or contract exception to operations/contracts.</x:v>
      </x:c>
    </x:row>
    <x:row r="36" ht="77.25" customHeight="1">
      <x:c r="A36" s="19" t="str">
        <x:v>T031</x:v>
      </x:c>
      <x:c r="B36" s="19" t="str">
        <x:v>R09  Local business development and recruiting leadership</x:v>
      </x:c>
      <x:c r="C36" s="19" t="str">
        <x:v>Account relationship and negotiation</x:v>
      </x:c>
      <x:c r="D36" s="19" t="str">
        <x:v>Account copilot</x:v>
      </x:c>
      <x:c r="E36" s="21" t="str">
        <x:v>C</x:v>
      </x:c>
      <x:c r="F36" s="19" t="str">
        <x:v>Business development manager</x:v>
      </x:c>
      <x:c r="G36" s="19" t="str">
        <x:v>Own commercial relationship, conflict resolution and final terms.
Reason: Relationship-sensitive negotiations and exceptions require accountable human ownership.
Exception: Clinical concern to clinical lead; contractual dispute to legal/contracts.</x:v>
      </x:c>
    </x:row>
    <x:row r="37" ht="66" customHeight="1">
      <x:c r="A37" s="20" t="str">
        <x:v>T032</x:v>
      </x:c>
      <x:c r="B37" s="20" t="str">
        <x:v>R09  Local business development and recruiting leadership</x:v>
      </x:c>
      <x:c r="C37" s="20" t="str">
        <x:v>Recruiting team management</x:v>
      </x:c>
      <x:c r="D37" s="20" t="str">
        <x:v>People operations assistant</x:v>
      </x:c>
      <x:c r="E37" s="22" t="str">
        <x:v>C</x:v>
      </x:c>
      <x:c r="F37" s="20" t="str">
        <x:v>Recruiting/BD leader with HR</x:v>
      </x:c>
      <x:c r="G37" s="20" t="str">
        <x:v>Make employment and performance decisions.
Reason: Employee selection and performance decisions remain human led.
Exception: Adverse action, grievance or accommodation to HR.</x:v>
      </x:c>
    </x:row>
    <x:row r="38" ht="66" customHeight="1">
      <x:c r="A38" s="19" t="str">
        <x:v>T033</x:v>
      </x:c>
      <x:c r="B38" s="19" t="str">
        <x:v>R09  Local business development and recruiting leadership</x:v>
      </x:c>
      <x:c r="C38" s="19" t="str">
        <x:v>Business activity and meeting administration</x:v>
      </x:c>
      <x:c r="D38" s="19" t="str">
        <x:v>Business operations agent</x:v>
      </x:c>
      <x:c r="E38" s="21" t="str">
        <x:v>A</x:v>
      </x:c>
      <x:c r="F38" s="19" t="str">
        <x:v>Business development manager</x:v>
      </x:c>
      <x:c r="G38" s="19" t="str">
        <x:v>Summarize source activity and track agreed actions.
Reason: Administrative summaries and tracking use existing approvals.
Exception: Conflicting or missing performance data to owner.</x:v>
      </x:c>
    </x:row>
    <x:row r="39" ht="66" customHeight="1">
      <x:c r="A39" s="20" t="str">
        <x:v>T034</x:v>
      </x:c>
      <x:c r="B39" s="20" t="str">
        <x:v>R10  MSP program service operations</x:v>
      </x:c>
      <x:c r="C39" s="20" t="str">
        <x:v>MSP service and SLA monitoring</x:v>
      </x:c>
      <x:c r="D39" s="20" t="str">
        <x:v>MSP service agent</x:v>
      </x:c>
      <x:c r="E39" s="22" t="str">
        <x:v>A</x:v>
      </x:c>
      <x:c r="F39" s="20" t="str">
        <x:v>Program management owner</x:v>
      </x:c>
      <x:c r="G39" s="20" t="str">
        <x:v>Apply contractually approved service thresholds.
Reason: Monitoring and alerting follow explicit metrics.
Exception: Missing contract definition or breach to program manager.</x:v>
      </x:c>
    </x:row>
    <x:row r="40" ht="66" customHeight="1">
      <x:c r="A40" s="19" t="str">
        <x:v>T035</x:v>
      </x:c>
      <x:c r="B40" s="19" t="str">
        <x:v>R10  MSP program service operations</x:v>
      </x:c>
      <x:c r="C40" s="19" t="str">
        <x:v>MSP client/supplier issue coordination</x:v>
      </x:c>
      <x:c r="D40" s="19" t="str">
        <x:v>MSP case agent</x:v>
      </x:c>
      <x:c r="E40" s="21" t="str">
        <x:v>B</x:v>
      </x:c>
      <x:c r="F40" s="19" t="str">
        <x:v>Program manager</x:v>
      </x:c>
      <x:c r="G40" s="19" t="str">
        <x:v>Propose response; human approves remedies.
Reason: Service remedies and billing changes can affect contracts and counterparties.
Exception: Contract remedy, pay dispute or serious complaint to accountable owner.</x:v>
      </x:c>
    </x:row>
    <x:row r="41" ht="66" customHeight="1">
      <x:c r="A41" s="20" t="str">
        <x:v>T036</x:v>
      </x:c>
      <x:c r="B41" s="20" t="str">
        <x:v>R11  Enterprise workforce solution sales</x:v>
      </x:c>
      <x:c r="C41" s="20" t="str">
        <x:v>Enterprise opportunity and deal analysis</x:v>
      </x:c>
      <x:c r="D41" s="20" t="str">
        <x:v>Enterprise deal agent</x:v>
      </x:c>
      <x:c r="E41" s="22" t="str">
        <x:v>B</x:v>
      </x:c>
      <x:c r="F41" s="20" t="str">
        <x:v>Enterprise BD director / finance</x:v>
      </x:c>
      <x:c r="G41" s="20" t="str">
        <x:v>Recommend pursuit and pricing posture.
Reason: Deal feasibility and economics require validated operating assumptions.
Exception: Unproven delivery, equity/investment idea or material exposure to leadership.</x:v>
      </x:c>
    </x:row>
    <x:row r="42" ht="77.25" customHeight="1">
      <x:c r="A42" s="19" t="str">
        <x:v>T037</x:v>
      </x:c>
      <x:c r="B42" s="19" t="str">
        <x:v>R11  Enterprise workforce solution sales</x:v>
      </x:c>
      <x:c r="C42" s="19" t="str">
        <x:v>Enterprise agreement and operating handoff</x:v>
      </x:c>
      <x:c r="D42" s="19" t="str">
        <x:v>Contract handoff assistant</x:v>
      </x:c>
      <x:c r="E42" s="21" t="str">
        <x:v>C</x:v>
      </x:c>
      <x:c r="F42" s="19" t="str">
        <x:v>Authorized executive / contracts owner</x:v>
      </x:c>
      <x:c r="G42" s="19" t="str">
        <x:v>Approve binding terms and accountable delivery commitments.
Reason: Binding legal/commercial decisions belong to authorized signatories.
Exception: Nonstandard liability, guarantee or capacity commitment to legal/finance.</x:v>
      </x:c>
    </x:row>
    <x:row r="43" ht="77.25" customHeight="1">
      <x:c r="A43" s="20" t="str">
        <x:v>T038</x:v>
      </x:c>
      <x:c r="B43" s="20" t="str">
        <x:v>R12  Network engineering</x:v>
      </x:c>
      <x:c r="C43" s="20" t="str">
        <x:v>Network incident triage and design documentation</x:v>
      </x:c>
      <x:c r="D43" s="20" t="str">
        <x:v>Network operations agent</x:v>
      </x:c>
      <x:c r="E43" s="22" t="str">
        <x:v>B</x:v>
      </x:c>
      <x:c r="F43" s="20" t="str">
        <x:v>Network engineer / incident commander</x:v>
      </x:c>
      <x:c r="G43" s="20" t="str">
        <x:v>Suggest cause and remediation; no unreviewed production change.
Reason: Network changes can disrupt systems and expose sensitive data.
Exception: Security signal, uncertain root cause or major outage to humans.</x:v>
      </x:c>
    </x:row>
    <x:row r="44" ht="77.25" customHeight="1">
      <x:c r="A44" s="19" t="str">
        <x:v>T039</x:v>
      </x:c>
      <x:c r="B44" s="19" t="str">
        <x:v>R12  Network engineering</x:v>
      </x:c>
      <x:c r="C44" s="19" t="str">
        <x:v>Controlled network change and major-incident leadership</x:v>
      </x:c>
      <x:c r="D44" s="19" t="str">
        <x:v>Network change assistant</x:v>
      </x:c>
      <x:c r="E44" s="21" t="str">
        <x:v>C</x:v>
      </x:c>
      <x:c r="F44" s="19" t="str">
        <x:v>Network engineering lead</x:v>
      </x:c>
      <x:c r="G44" s="19" t="str">
        <x:v>Own architecture, firewall/routing changes and outage response.
Reason: Production/security authority and incident command remain accountable human functions.
Exception: Scope expansion or rollback failure to incident commander/security.</x:v>
      </x:c>
    </x:row>
    <x:row r="45" ht="77.25" customHeight="1">
      <x:c r="A45" s="20" t="str">
        <x:v>T040</x:v>
      </x:c>
      <x:c r="B45" s="20" t="str">
        <x:v>R13  MSP implementation and training</x:v>
      </x:c>
      <x:c r="C45" s="20" t="str">
        <x:v>MSP configuration data collection and validation</x:v>
      </x:c>
      <x:c r="D45" s="20" t="str">
        <x:v>MSP onboarding agent</x:v>
      </x:c>
      <x:c r="E45" s="22" t="str">
        <x:v>A</x:v>
      </x:c>
      <x:c r="F45" s="20" t="str">
        <x:v>Implementation owner</x:v>
      </x:c>
      <x:c r="G45" s="20" t="str">
        <x:v>Load approved master data; do not infer commercial rules.
Reason: Structured data entry can follow approved schemas and checks.
Exception: Duplicate identity, conflicting account or missing required values to owner.</x:v>
      </x:c>
    </x:row>
    <x:row r="46" ht="54.75" customHeight="1">
      <x:c r="A46" s="19" t="str">
        <x:v>T041</x:v>
      </x:c>
      <x:c r="B46" s="19" t="str">
        <x:v>R13  MSP implementation and training</x:v>
      </x:c>
      <x:c r="C46" s="19" t="str">
        <x:v>Implementation checklist and readiness reporting</x:v>
      </x:c>
      <x:c r="D46" s="19" t="str">
        <x:v>Implementation coordination agent</x:v>
      </x:c>
      <x:c r="E46" s="21" t="str">
        <x:v>A</x:v>
      </x:c>
      <x:c r="F46" s="19" t="str">
        <x:v>Implementation manager</x:v>
      </x:c>
      <x:c r="G46" s="19" t="str">
        <x:v>Mark completion only with evidence; do not declare go-live.
Reason: Checklist tracking is deterministic.
Exception: Critical unmet prerequisite to manager.</x:v>
      </x:c>
    </x:row>
    <x:row r="47" ht="66" customHeight="1">
      <x:c r="A47" s="20" t="str">
        <x:v>T042</x:v>
      </x:c>
      <x:c r="B47" s="20" t="str">
        <x:v>R13  MSP implementation and training</x:v>
      </x:c>
      <x:c r="C47" s="20" t="str">
        <x:v>Training and enhancement preparation</x:v>
      </x:c>
      <x:c r="D47" s="20" t="str">
        <x:v>Implementation learning agent</x:v>
      </x:c>
      <x:c r="E47" s="22" t="str">
        <x:v>B</x:v>
      </x:c>
      <x:c r="F47" s="20" t="str">
        <x:v>Implementation/program manager</x:v>
      </x:c>
      <x:c r="G47" s="20" t="str">
        <x:v>Recommend training changes and product requests.
Reason: Incorrect instructions can misconfigure operational workflows.
Exception: Workflow inconsistency to product/program owner.</x:v>
      </x:c>
    </x:row>
    <x:row r="48" ht="77.25" customHeight="1">
      <x:c r="A48" s="19" t="str">
        <x:v>T043</x:v>
      </x:c>
      <x:c r="B48" s="19" t="str">
        <x:v>R13  MSP implementation and training</x:v>
      </x:c>
      <x:c r="C48" s="19" t="str">
        <x:v>Customer go-live and adoption acceptance</x:v>
      </x:c>
      <x:c r="D48" s="19" t="str">
        <x:v>Go-live assistant</x:v>
      </x:c>
      <x:c r="E48" s="21" t="str">
        <x:v>C</x:v>
      </x:c>
      <x:c r="F48" s="19" t="str">
        <x:v>Implementation manager and client sponsor</x:v>
      </x:c>
      <x:c r="G48" s="19" t="str">
        <x:v>Accept customer/supplier readiness and unresolved risk.
Reason: Cross-functional acceptance and commitments require humans.
Exception: Open payroll, credentialing or billing blocker prevents signoff.</x:v>
      </x:c>
    </x:row>
    <x:row r="49" ht="77.25" customHeight="1">
      <x:c r="A49" s="20" t="str">
        <x:v>T044</x:v>
      </x:c>
      <x:c r="B49" s="20" t="str">
        <x:v>R14  MSP compliance management</x:v>
      </x:c>
      <x:c r="C49" s="20" t="str">
        <x:v>Credential rulebook drafting and refresh</x:v>
      </x:c>
      <x:c r="D49" s="20" t="str">
        <x:v>Compliance rulebook agent</x:v>
      </x:c>
      <x:c r="E49" s="22" t="str">
        <x:v>B</x:v>
      </x:c>
      <x:c r="F49" s="20" t="str">
        <x:v>Compliance manager</x:v>
      </x:c>
      <x:c r="G49" s="20" t="str">
        <x:v>Propose required evidence and expiry rules for compliance approval.
Reason: Incorrect requirements could authorize unqualified work or exclude workers.
Exception: Conflicting jurisdiction/client language to qualified compliance/legal reviewer.</x:v>
      </x:c>
    </x:row>
    <x:row r="50" ht="77.25" customHeight="1">
      <x:c r="A50" s="19" t="str">
        <x:v>T045</x:v>
      </x:c>
      <x:c r="B50" s="19" t="str">
        <x:v>R14  MSP compliance management</x:v>
      </x:c>
      <x:c r="C50" s="19" t="str">
        <x:v>Credential expiry monitoring and audit sampling</x:v>
      </x:c>
      <x:c r="D50" s="19" t="str">
        <x:v>Credential assurance agent</x:v>
      </x:c>
      <x:c r="E50" s="21" t="str">
        <x:v>A</x:v>
      </x:c>
      <x:c r="F50" s="19" t="str">
        <x:v>Compliance manager</x:v>
      </x:c>
      <x:c r="G50" s="19" t="str">
        <x:v>Apply preapproved completeness/expiry checks; no exception clearance.
Reason: Routine expiry/completeness monitoring follows approved rules.
Exception: Discrepant credential or active worker with missing requirement to human immediately.</x:v>
      </x:c>
    </x:row>
    <x:row r="51" ht="77.25" customHeight="1">
      <x:c r="A51" s="20" t="str">
        <x:v>T046</x:v>
      </x:c>
      <x:c r="B51" s="20" t="str">
        <x:v>R14  MSP compliance management</x:v>
      </x:c>
      <x:c r="C51" s="20" t="str">
        <x:v>Credential exception and audit disposition</x:v>
      </x:c>
      <x:c r="D51" s="20" t="str">
        <x:v>Compliance case assistant</x:v>
      </x:c>
      <x:c r="E51" s="22" t="str">
        <x:v>C</x:v>
      </x:c>
      <x:c r="F51" s="20" t="str">
        <x:v>Compliance manager / qualified clinical reviewer</x:v>
      </x:c>
      <x:c r="G51" s="20" t="str">
        <x:v>Resolve exceptions and approve rule interpretations.
Reason: Exception clearance requires accountable credential/compliance judgment.
Exception: Suspected falsification, adverse finding or patient-safety risk to compliance/clinical leadership.</x:v>
      </x:c>
    </x:row>
    <x:row r="52" ht="66" customHeight="1">
      <x:c r="A52" s="19" t="str">
        <x:v>T047</x:v>
      </x:c>
      <x:c r="B52" s="19" t="str">
        <x:v>R15  Regional finance operations and control</x:v>
      </x:c>
      <x:c r="C52" s="19" t="str">
        <x:v>Regional budget and expense analysis</x:v>
      </x:c>
      <x:c r="D52" s="19" t="str">
        <x:v>Finance control agent</x:v>
      </x:c>
      <x:c r="E52" s="21" t="str">
        <x:v>B</x:v>
      </x:c>
      <x:c r="F52" s="19" t="str">
        <x:v>Regional controller / finance operations manager</x:v>
      </x:c>
      <x:c r="G52" s="19" t="str">
        <x:v>Recommend financial actions for controller approval.
Reason: Financial interpretation and spending decisions require delegated authority.
Exception: Material variance, compensation issue or unreconciled figures to controller.</x:v>
      </x:c>
    </x:row>
    <x:row r="53" ht="66" customHeight="1">
      <x:c r="A53" s="20" t="str">
        <x:v>T048</x:v>
      </x:c>
      <x:c r="B53" s="20" t="str">
        <x:v>R15  Regional finance operations and control</x:v>
      </x:c>
      <x:c r="C53" s="20" t="str">
        <x:v>RFP financial and operational review</x:v>
      </x:c>
      <x:c r="D53" s="20" t="str">
        <x:v>Bid finance agent</x:v>
      </x:c>
      <x:c r="E53" s="22" t="str">
        <x:v>B</x:v>
      </x:c>
      <x:c r="F53" s="20" t="str">
        <x:v>Finance approver with contracts owner</x:v>
      </x:c>
      <x:c r="G53" s="20" t="str">
        <x:v>Propose economics and flag risk; no bid commitment.
Reason: Pricing and bid commitments depend on validated cost/capacity.
Exception: Unbounded cost, nonstandard pay or penalty clause to controller/legal.</x:v>
      </x:c>
    </x:row>
    <x:row r="54" ht="66" customHeight="1">
      <x:c r="A54" s="19" t="str">
        <x:v>T049</x:v>
      </x:c>
      <x:c r="B54" s="19" t="str">
        <x:v>R15  Regional finance operations and control</x:v>
      </x:c>
      <x:c r="C54" s="19" t="str">
        <x:v>Cross-department financial case routing</x:v>
      </x:c>
      <x:c r="D54" s="19" t="str">
        <x:v>Finance service agent</x:v>
      </x:c>
      <x:c r="E54" s="21" t="str">
        <x:v>A</x:v>
      </x:c>
      <x:c r="F54" s="19" t="str">
        <x:v>Finance operations manager</x:v>
      </x:c>
      <x:c r="G54" s="19" t="str">
        <x:v>Apply approved ownership/routing rules.
Reason: Administrative coordination can be automated without financial discretion.
Exception: Unclear owner or sensitive legal issue to finance lead.</x:v>
      </x:c>
    </x:row>
    <x:row r="55" ht="144.75" customHeight="1">
      <x:c r="A55" s="20" t="str">
        <x:v>T050</x:v>
      </x:c>
      <x:c r="B55" s="20" t="str">
        <x:v>R16  Field support and customer service management</x:v>
      </x:c>
      <x:c r="C55" s="20" t="str">
        <x:v>Payroll/billing quality assurance</x:v>
      </x:c>
      <x:c r="D55" s="20" t="str">
        <x:v>Payroll QA agent</x:v>
      </x:c>
      <x:c r="E55" s="22" t="str">
        <x:v>B</x:v>
      </x:c>
      <x:c r="F55" s="20" t="str">
        <x:v>Payroll/field support manager</x:v>
      </x:c>
      <x:c r="G55" s="20" t="str">
        <x:v>Detect discrepancies and route corrections without suppressing worked-time payroll; customer approval gates billing only. Responsible payroll/finance approvers authorize corrections.
Reason: Worker wages and billing adjustments need accountable review; disputed or pending client approval must not suppress recorded worked time from payroll.
Exception: Missing wages, disputed hours or improper deduction to payroll/HR promptly; preserve timely payroll processing independently of client billing approval.</x:v>
      </x:c>
    </x:row>
    <x:row r="56" ht="77.25" customHeight="1">
      <x:c r="A56" s="19" t="str">
        <x:v>T051</x:v>
      </x:c>
      <x:c r="B56" s="19" t="str">
        <x:v>R16  Field support and customer service management</x:v>
      </x:c>
      <x:c r="C56" s="19" t="str">
        <x:v>Office administration and routine operational reports</x:v>
      </x:c>
      <x:c r="D56" s="19" t="str">
        <x:v>Office operations agent</x:v>
      </x:c>
      <x:c r="E56" s="21" t="str">
        <x:v>A</x:v>
      </x:c>
      <x:c r="F56" s="19" t="str">
        <x:v>Field support manager</x:v>
      </x:c>
      <x:c r="G56" s="19" t="str">
        <x:v>Execute within approved limits and catalog; route exceptions.
Reason: Low-risk, bounded administrative tasks follow explicit policies.
Exception: New vendor, higher spend or facility safety issue to owner.</x:v>
      </x:c>
    </x:row>
    <x:row r="57" ht="77.25" customHeight="1">
      <x:c r="A57" s="20" t="str">
        <x:v>T052</x:v>
      </x:c>
      <x:c r="B57" s="20" t="str">
        <x:v>R16  Field support and customer service management</x:v>
      </x:c>
      <x:c r="C57" s="20" t="str">
        <x:v>Grievance and incident intake</x:v>
      </x:c>
      <x:c r="D57" s="20" t="str">
        <x:v>Incident intake agent</x:v>
      </x:c>
      <x:c r="E57" s="22" t="str">
        <x:v>A</x:v>
      </x:c>
      <x:c r="F57" s="20" t="str">
        <x:v>Field support/HR/clinical owner</x:v>
      </x:c>
      <x:c r="G57" s="20" t="str">
        <x:v>Log/rout without judging credibility or determining employment action.
Reason: Intake automation is bounded to faithful recording and routing.
Exception: Safety threat, alleged abuse or serious wage concern to designated urgent human route.</x:v>
      </x:c>
    </x:row>
    <x:row r="58" ht="77.25" customHeight="1">
      <x:c r="A58" s="19" t="str">
        <x:v>T053</x:v>
      </x:c>
      <x:c r="B58" s="19" t="str">
        <x:v>R16  Field support and customer service management</x:v>
      </x:c>
      <x:c r="C58" s="19" t="str">
        <x:v>Grievance, claim and corrective-action decisions</x:v>
      </x:c>
      <x:c r="D58" s="19" t="str">
        <x:v>Case investigation assistant</x:v>
      </x:c>
      <x:c r="E58" s="21" t="str">
        <x:v>C</x:v>
      </x:c>
      <x:c r="F58" s="19" t="str">
        <x:v>Responsible HR/clinical/claims manager</x:v>
      </x:c>
      <x:c r="G58" s="19" t="str">
        <x:v>Own investigation, credibility judgments and employment/clinical remedies.
Reason: Disputed facts and consequential remedies need human accountability.
Exception: Serious allegations or uncertain legal/clinical facts to designated specialist.</x:v>
      </x:c>
    </x:row>
    <x:row r="59" ht="77.25" customHeight="1">
      <x:c r="A59" s="20" t="str">
        <x:v>T054</x:v>
      </x:c>
      <x:c r="B59" s="20" t="str">
        <x:v>R16  Field support and customer service management</x:v>
      </x:c>
      <x:c r="C59" s="20" t="str">
        <x:v>Personnel and operating compliance leadership</x:v>
      </x:c>
      <x:c r="D59" s="20" t="str">
        <x:v>People and controls assistant</x:v>
      </x:c>
      <x:c r="E59" s="22" t="str">
        <x:v>C</x:v>
      </x:c>
      <x:c r="F59" s="20" t="str">
        <x:v>Field support manager with HR/compliance</x:v>
      </x:c>
      <x:c r="G59" s="20" t="str">
        <x:v>Select, coach and evaluate staff; own compliance policy.
Reason: Employment and control accountability remain with authorized leaders.
Exception: Adverse action or policy interpretation to specialist.</x:v>
      </x:c>
    </x:row>
    <x:row r="60" ht="66" customHeight="1">
      <x:c r="A60" s="19" t="str">
        <x:v>T055</x:v>
      </x:c>
      <x:c r="B60" s="19" t="str">
        <x:v>R17  Content marketing</x:v>
      </x:c>
      <x:c r="C60" s="19" t="str">
        <x:v>Marketing research and content drafting</x:v>
      </x:c>
      <x:c r="D60" s="19" t="str">
        <x:v>Marketing content agent</x:v>
      </x:c>
      <x:c r="E60" s="21" t="str">
        <x:v>B</x:v>
      </x:c>
      <x:c r="F60" s="19" t="str">
        <x:v>Content marketing lead</x:v>
      </x:c>
      <x:c r="G60" s="19" t="str">
        <x:v>Suggest copy and concepts for review.
Reason: Published claims need fact, brand and specialist review.
Exception: Clinical, legal or HR claim to subject specialist.</x:v>
      </x:c>
    </x:row>
    <x:row r="61" ht="77.25" customHeight="1">
      <x:c r="A61" s="20" t="str">
        <x:v>T056</x:v>
      </x:c>
      <x:c r="B61" s="20" t="str">
        <x:v>R17  Content marketing</x:v>
      </x:c>
      <x:c r="C61" s="20" t="str">
        <x:v>Specialist review orchestration</x:v>
      </x:c>
      <x:c r="D61" s="20" t="str">
        <x:v>Content review agent</x:v>
      </x:c>
      <x:c r="E61" s="22" t="str">
        <x:v>A</x:v>
      </x:c>
      <x:c r="F61" s="20" t="str">
        <x:v>Content lead</x:v>
      </x:c>
      <x:c r="G61" s="20" t="str">
        <x:v>Route by approved subject rules; block publication until complete.
Reason: Routing and approval tracking are rule-based; approval stays human.
Exception: Conflicting or missing approval to content owner.</x:v>
      </x:c>
    </x:row>
    <x:row r="62" ht="66" customHeight="1">
      <x:c r="A62" s="19" t="str">
        <x:v>T057</x:v>
      </x:c>
      <x:c r="B62" s="19" t="str">
        <x:v>R17  Content marketing</x:v>
      </x:c>
      <x:c r="C62" s="19" t="str">
        <x:v>Approved asset publishing and performance reporting</x:v>
      </x:c>
      <x:c r="D62" s="19" t="str">
        <x:v>Marketing operations agent</x:v>
      </x:c>
      <x:c r="E62" s="21" t="str">
        <x:v>A</x:v>
      </x:c>
      <x:c r="F62" s="19" t="str">
        <x:v>Marketing operations owner</x:v>
      </x:c>
      <x:c r="G62" s="19" t="str">
        <x:v>Publish only approved version and aggregate metrics.
Reason: Approved content operations can execute reliably with version controls.
Exception: Unreviewed edits or sensitive audience targeting to content owner.</x:v>
      </x:c>
    </x:row>
    <x:row r="63" ht="77.25" customHeight="1">
      <x:c r="A63" s="20" t="str">
        <x:v>T058</x:v>
      </x:c>
      <x:c r="B63" s="20" t="str">
        <x:v>R18  Desktop and end-user technology support</x:v>
      </x:c>
      <x:c r="C63" s="20" t="str">
        <x:v>End-user support triage</x:v>
      </x:c>
      <x:c r="D63" s="20" t="str">
        <x:v>IT service agent</x:v>
      </x:c>
      <x:c r="E63" s="22" t="str">
        <x:v>A</x:v>
      </x:c>
      <x:c r="F63" s="20" t="str">
        <x:v>IT service owner</x:v>
      </x:c>
      <x:c r="G63" s="20" t="str">
        <x:v>Offer approved non-destructive fixes and route privileged changes.
Reason: Bounded troubleshooting can avoid privileged/security changes.
Exception: Suspicious compromise, access issue or destructive fix to IT/security.</x:v>
      </x:c>
    </x:row>
    <x:row r="64" ht="77.25" customHeight="1">
      <x:c r="A64" s="19" t="str">
        <x:v>T059</x:v>
      </x:c>
      <x:c r="B64" s="19" t="str">
        <x:v>R18  Desktop and end-user technology support</x:v>
      </x:c>
      <x:c r="C64" s="19" t="str">
        <x:v>Endpoint configuration and purchase recommendation</x:v>
      </x:c>
      <x:c r="D64" s="19" t="str">
        <x:v>Endpoint engineering agent</x:v>
      </x:c>
      <x:c r="E64" s="21" t="str">
        <x:v>B</x:v>
      </x:c>
      <x:c r="F64" s="19" t="str">
        <x:v>Desktop support lead / procurement approver</x:v>
      </x:c>
      <x:c r="G64" s="19" t="str">
        <x:v>Propose device/software changes for technical/procurement approval.
Reason: Software installation, purchasing and access affect security and spend.
Exception: Unsupported software, elevated access or new vendor to security/procurement.</x:v>
      </x:c>
    </x:row>
    <x:row r="65" ht="77.25" customHeight="1">
      <x:c r="A65" s="20" t="str">
        <x:v>T060</x:v>
      </x:c>
      <x:c r="B65" s="20" t="str">
        <x:v>R19  Onboarding and credentialing support</x:v>
      </x:c>
      <x:c r="C65" s="20" t="str">
        <x:v>Candidate onboarding administration</x:v>
      </x:c>
      <x:c r="D65" s="20" t="str">
        <x:v>Onboarding concierge agent</x:v>
      </x:c>
      <x:c r="E65" s="22" t="str">
        <x:v>A</x:v>
      </x:c>
      <x:c r="F65" s="20" t="str">
        <x:v>Field support manager</x:v>
      </x:c>
      <x:c r="G65" s="20" t="str">
        <x:v>Request missing evidence under approved rules; no eligibility judgment.
Reason: Checklist operations are administrative and reversible.
Exception: Accessibility request, disputed requirement or sensitive question to human.</x:v>
      </x:c>
    </x:row>
    <x:row r="66" ht="77.25" customHeight="1">
      <x:c r="A66" s="19" t="str">
        <x:v>T061</x:v>
      </x:c>
      <x:c r="B66" s="19" t="str">
        <x:v>R19  Onboarding and credentialing support</x:v>
      </x:c>
      <x:c r="C66" s="19" t="str">
        <x:v>Credential data extraction and validation</x:v>
      </x:c>
      <x:c r="D66" s="19" t="str">
        <x:v>Credential document agent</x:v>
      </x:c>
      <x:c r="E66" s="21" t="str">
        <x:v>A</x:v>
      </x:c>
      <x:c r="F66" s="19" t="str">
        <x:v>Credentialing support owner</x:v>
      </x:c>
      <x:c r="G66" s="19" t="str">
        <x:v>Populate exact evidence; flag ambiguity instead of clearing.
Reason: Evidence extraction and structural checks can be bounded; not credential adjudication.
Exception: Name mismatch, illegible data or unverifiable issuer to reviewer.</x:v>
      </x:c>
    </x:row>
    <x:row r="67" ht="66" customHeight="1">
      <x:c r="A67" s="20" t="str">
        <x:v>T062</x:v>
      </x:c>
      <x:c r="B67" s="20" t="str">
        <x:v>R19  Onboarding and credentialing support</x:v>
      </x:c>
      <x:c r="C67" s="20" t="str">
        <x:v>Credential renewal coordination</x:v>
      </x:c>
      <x:c r="D67" s="20" t="str">
        <x:v>Credential renewal agent</x:v>
      </x:c>
      <x:c r="E67" s="22" t="str">
        <x:v>A</x:v>
      </x:c>
      <x:c r="F67" s="20" t="str">
        <x:v>Credentialing/field support owner</x:v>
      </x:c>
      <x:c r="G67" s="20" t="str">
        <x:v>Send notices and record verified evidence; never waive expiry.
Reason: Expiry reminders are deterministic.
Exception: Lapse or disputed credential to compliance and assignment owner.</x:v>
      </x:c>
    </x:row>
    <x:row r="68" ht="77.25" customHeight="1">
      <x:c r="A68" s="19" t="str">
        <x:v>T063</x:v>
      </x:c>
      <x:c r="B68" s="19" t="str">
        <x:v>R19  Onboarding and credentialing support</x:v>
      </x:c>
      <x:c r="C68" s="19" t="str">
        <x:v>Work-readiness clearance</x:v>
      </x:c>
      <x:c r="D68" s="19" t="str">
        <x:v>Readiness case assistant</x:v>
      </x:c>
      <x:c r="E68" s="21" t="str">
        <x:v>C</x:v>
      </x:c>
      <x:c r="F68" s="19" t="str">
        <x:v>Credentialing compliance authority</x:v>
      </x:c>
      <x:c r="G68" s="19" t="str">
        <x:v>Authorize readiness, interpret exceptions and resolve discrepancies.
Reason: Eligibility/clearance judgments affect work opportunities and client safety.
Exception: Adverse evidence or uncertain qualification to compliance/HR/clinical as relevant.</x:v>
      </x:c>
    </x:row>
    <x:row r="69">
      <x:c r="A69" s="2"/>
      <x:c r="B69" s="2"/>
      <x:c r="C69" s="2"/>
      <x:c r="D69" s="2"/>
      <x:c r="E69" s="2"/>
      <x:c r="F69" s="2"/>
      <x:c r="G69" s="2"/>
    </x:row>
  </x:sheetData>
  <x:conditionalFormatting sqref="E6:E68">
    <x:cfRule type="cellIs" dxfId="0" priority="1" operator="equal">
      <x:formula>"A"</x:formula>
    </x:cfRule>
    <x:cfRule type="cellIs" dxfId="1" priority="2" operator="equal">
      <x:formula>"B"</x:formula>
    </x:cfRule>
    <x:cfRule type="cellIs" dxfId="2" priority="3" operator="equal">
      <x:formula>"C"</x:formula>
    </x:cfRule>
  </x:conditionalFormatting>
  <x:dataValidations count="1">
    <x:dataValidation type="list" sqref="E6:E68">
      <x:formula1>"A,B,C"</x:formula1>
    </x:dataValidation>
  </x:dataValidations>
  <x:pageMargins left="0.7" right="0.7" top="0.75" bottom="0.75" header="0.3" footer="0.3"/>
  <x:tableParts count="1">
    <x:tablePart xmlns:r="http://schemas.openxmlformats.org/officeDocument/2006/relationships" r:id="R68b243cb11ab4e23"/>
  </x:tableParts>
</x:worksheet>
</file>

<file path=xl/worksheets/sheet3.xml><?xml version="1.0" encoding="utf-8"?>
<x:worksheet xmlns:x="http://schemas.openxmlformats.org/spreadsheetml/2006/main">
  <x:sheetPr>
    <x:tabColor rgb="FF007F82"/>
  </x:sheetPr>
  <x:sheetViews>
    <x:sheetView showGridLines="0" workbookViewId="0">
      <x:pane xSplit="1" ySplit="5" topLeftCell="B6" activePane="bottomRight" state="frozen"/>
    </x:sheetView>
  </x:sheetViews>
  <x:sheetFormatPr defaultRowHeight="15"/>
  <x:cols>
    <x:col min="1" max="1" width="7.329999923706055" hidden="0" customWidth="1"/>
    <x:col min="2" max="2" width="30.559999465942383" hidden="0" customWidth="1"/>
    <x:col min="3" max="3" width="21.110000610351562" hidden="0" customWidth="1"/>
    <x:col min="4" max="4" width="18.889999389648438" hidden="0" customWidth="1"/>
    <x:col min="5" max="5" width="18.889999389648438" hidden="0" customWidth="1"/>
    <x:col min="6" max="6" width="40" hidden="0" customWidth="1"/>
    <x:col min="7" max="7" width="19.440000534057617" hidden="0" customWidth="1"/>
  </x:cols>
  <x:sheetData>
    <x:row r="1" ht="12" customHeight="1">
      <x:c r="A1" s="2"/>
      <x:c r="B1" s="2"/>
      <x:c r="C1" s="2"/>
      <x:c r="D1" s="2"/>
      <x:c r="E1" s="2"/>
      <x:c r="F1" s="2"/>
      <x:c r="G1" s="2"/>
    </x:row>
    <x:row r="2" ht="22.5" customHeight="1">
      <x:c r="A2" s="3" t="str">
        <x:v>Implementation review</x:v>
      </x:c>
      <x:c r="B2" s="2"/>
      <x:c r="C2" s="2"/>
      <x:c r="D2" s="2"/>
      <x:c r="E2" s="2"/>
      <x:c r="F2" s="2"/>
      <x:c r="G2" s="2"/>
    </x:row>
    <x:row r="3" ht="20.25" customHeight="1">
      <x:c r="A3" s="5" t="str">
        <x:v>Amber cells are editable. Complete the owner, decision and acceptance evidence for each task; review completion is not deployment completion.</x:v>
      </x:c>
      <x:c r="B3" s="6"/>
      <x:c r="C3" s="6"/>
      <x:c r="D3" s="6"/>
      <x:c r="E3" s="6"/>
      <x:c r="F3" s="6"/>
      <x:c r="G3" s="6"/>
    </x:row>
    <x:row r="4">
      <x:c r="A4" s="2"/>
      <x:c r="B4" s="2"/>
      <x:c r="C4" s="2"/>
      <x:c r="D4" s="2"/>
      <x:c r="E4" s="2"/>
      <x:c r="F4" s="2"/>
      <x:c r="G4" s="2"/>
    </x:row>
    <x:row r="5" ht="27" customHeight="1">
      <x:c r="A5" s="15" t="str">
        <x:v>Task ID</x:v>
      </x:c>
      <x:c r="B5" s="16" t="str">
        <x:v>Task</x:v>
      </x:c>
      <x:c r="C5" s="16" t="str">
        <x:v>Proposed phase</x:v>
      </x:c>
      <x:c r="D5" s="16" t="str">
        <x:v>Named review owner</x:v>
      </x:c>
      <x:c r="E5" s="16" t="str">
        <x:v>Review decision</x:v>
      </x:c>
      <x:c r="F5" s="16" t="str">
        <x:v>Acceptance evidence / condition</x:v>
      </x:c>
      <x:c r="G5" s="17" t="str">
        <x:v>Review status</x:v>
      </x:c>
    </x:row>
    <x:row r="6" ht="33.75" customHeight="1">
      <x:c r="A6" s="19" t="str">
        <x:v>T001</x:v>
      </x:c>
      <x:c r="B6" s="19" t="str">
        <x:v>Candidate sourcing and outreach preparation</x:v>
      </x:c>
      <x:c r="C6" s="23" t="str">
        <x:v>2. Approval workflows</x:v>
      </x:c>
      <x:c r="D6" s="23" t="str"/>
      <x:c r="E6" s="23" t="str">
        <x:v>Not reviewed</x:v>
      </x:c>
      <x:c r="F6" s="23" t="str"/>
      <x:c r="G6" s="19" t="str">
        <x:f>IF(E6="Deferred","Deferred",IF(D6="","Assign owner",IF(E6="Not reviewed","Review decision",IF(F6="","Record acceptance evidence",IF(E6="Approved for pilot","Review complete","Resolve conditions")))))</x:f>
        <x:v>Assign owner</x:v>
      </x:c>
    </x:row>
    <x:row r="7" ht="33.75" customHeight="1">
      <x:c r="A7" s="20" t="str">
        <x:v>T002</x:v>
      </x:c>
      <x:c r="B7" s="20" t="str">
        <x:v>Inbound recruiting service and scheduling</x:v>
      </x:c>
      <x:c r="C7" s="23" t="str">
        <x:v>1. Bounded operations</x:v>
      </x:c>
      <x:c r="D7" s="23" t="str"/>
      <x:c r="E7" s="23" t="str">
        <x:v>Not reviewed</x:v>
      </x:c>
      <x:c r="F7" s="23" t="str"/>
      <x:c r="G7" s="19" t="str">
        <x:f>IF(E7="Deferred","Deferred",IF(D7="","Assign owner",IF(E7="Not reviewed","Review decision",IF(F7="","Record acceptance evidence",IF(E7="Approved for pilot","Review complete","Resolve conditions")))))</x:f>
        <x:v>Assign owner</x:v>
      </x:c>
    </x:row>
    <x:row r="8" ht="33.75" customHeight="1">
      <x:c r="A8" s="19" t="str">
        <x:v>T003</x:v>
      </x:c>
      <x:c r="B8" s="19" t="str">
        <x:v>Application and interview preparation</x:v>
      </x:c>
      <x:c r="C8" s="23" t="str">
        <x:v>2. Approval workflows</x:v>
      </x:c>
      <x:c r="D8" s="23" t="str"/>
      <x:c r="E8" s="23" t="str">
        <x:v>Not reviewed</x:v>
      </x:c>
      <x:c r="F8" s="23" t="str"/>
      <x:c r="G8" s="19" t="str">
        <x:f>IF(E8="Deferred","Deferred",IF(D8="","Assign owner",IF(E8="Not reviewed","Review decision",IF(F8="","Record acceptance evidence",IF(E8="Approved for pilot","Review complete","Resolve conditions")))))</x:f>
        <x:v>Assign owner</x:v>
      </x:c>
    </x:row>
    <x:row r="9" ht="33.75" customHeight="1">
      <x:c r="A9" s="20" t="str">
        <x:v>T004</x:v>
      </x:c>
      <x:c r="B9" s="20" t="str">
        <x:v>Pay and placement proposal</x:v>
      </x:c>
      <x:c r="C9" s="23" t="str">
        <x:v>2. Approval workflows</x:v>
      </x:c>
      <x:c r="D9" s="23" t="str"/>
      <x:c r="E9" s="23" t="str">
        <x:v>Not reviewed</x:v>
      </x:c>
      <x:c r="F9" s="23" t="str"/>
      <x:c r="G9" s="19" t="str">
        <x:f>IF(E9="Deferred","Deferred",IF(D9="","Assign owner",IF(E9="Not reviewed","Review decision",IF(F9="","Record acceptance evidence",IF(E9="Approved for pilot","Review complete","Resolve conditions")))))</x:f>
        <x:v>Assign owner</x:v>
      </x:c>
    </x:row>
    <x:row r="10" ht="33.75" customHeight="1">
      <x:c r="A10" s="19" t="str">
        <x:v>T005</x:v>
      </x:c>
      <x:c r="B10" s="19" t="str">
        <x:v>Employment decision and negotiation</x:v>
      </x:c>
      <x:c r="C10" s="23" t="str">
        <x:v>3. Human-led services</x:v>
      </x:c>
      <x:c r="D10" s="23" t="str"/>
      <x:c r="E10" s="23" t="str">
        <x:v>Not reviewed</x:v>
      </x:c>
      <x:c r="F10" s="23" t="str"/>
      <x:c r="G10" s="19" t="str">
        <x:f>IF(E10="Deferred","Deferred",IF(D10="","Assign owner",IF(E10="Not reviewed","Review decision",IF(F10="","Record acceptance evidence",IF(E10="Approved for pilot","Review complete","Resolve conditions")))))</x:f>
        <x:v>Assign owner</x:v>
      </x:c>
    </x:row>
    <x:row r="11" ht="33.75" customHeight="1">
      <x:c r="A11" s="20" t="str">
        <x:v>T006</x:v>
      </x:c>
      <x:c r="B11" s="20" t="str">
        <x:v>Placement support and retention triage</x:v>
      </x:c>
      <x:c r="C11" s="23" t="str">
        <x:v>1. Bounded operations</x:v>
      </x:c>
      <x:c r="D11" s="23" t="str"/>
      <x:c r="E11" s="23" t="str">
        <x:v>Not reviewed</x:v>
      </x:c>
      <x:c r="F11" s="23" t="str"/>
      <x:c r="G11" s="19" t="str">
        <x:f>IF(E11="Deferred","Deferred",IF(D11="","Assign owner",IF(E11="Not reviewed","Review decision",IF(F11="","Record acceptance evidence",IF(E11="Approved for pilot","Review complete","Resolve conditions")))))</x:f>
        <x:v>Assign owner</x:v>
      </x:c>
    </x:row>
    <x:row r="12" ht="33.75" customHeight="1">
      <x:c r="A12" s="19" t="str">
        <x:v>T007</x:v>
      </x:c>
      <x:c r="B12" s="19" t="str">
        <x:v>Recruiting operating reports and training administration</x:v>
      </x:c>
      <x:c r="C12" s="23" t="str">
        <x:v>1. Bounded operations</x:v>
      </x:c>
      <x:c r="D12" s="23" t="str"/>
      <x:c r="E12" s="23" t="str">
        <x:v>Not reviewed</x:v>
      </x:c>
      <x:c r="F12" s="23" t="str"/>
      <x:c r="G12" s="19" t="str">
        <x:f>IF(E12="Deferred","Deferred",IF(D12="","Assign owner",IF(E12="Not reviewed","Review decision",IF(F12="","Record acceptance evidence",IF(E12="Approved for pilot","Review complete","Resolve conditions")))))</x:f>
        <x:v>Assign owner</x:v>
      </x:c>
    </x:row>
    <x:row r="13" ht="33.75" customHeight="1">
      <x:c r="A13" s="20" t="str">
        <x:v>T008</x:v>
      </x:c>
      <x:c r="B13" s="20" t="str">
        <x:v>Facility clinical knowledge preparation</x:v>
      </x:c>
      <x:c r="C13" s="23" t="str">
        <x:v>2. Approval workflows</x:v>
      </x:c>
      <x:c r="D13" s="23" t="str"/>
      <x:c r="E13" s="23" t="str">
        <x:v>Not reviewed</x:v>
      </x:c>
      <x:c r="F13" s="23" t="str"/>
      <x:c r="G13" s="19" t="str">
        <x:f>IF(E13="Deferred","Deferred",IF(D13="","Assign owner",IF(E13="Not reviewed","Review decision",IF(F13="","Record acceptance evidence",IF(E13="Approved for pilot","Review complete","Resolve conditions")))))</x:f>
        <x:v>Assign owner</x:v>
      </x:c>
    </x:row>
    <x:row r="14" ht="33.75" customHeight="1">
      <x:c r="A14" s="19" t="str">
        <x:v>T009</x:v>
      </x:c>
      <x:c r="B14" s="19" t="str">
        <x:v>Clinical competency assessment</x:v>
      </x:c>
      <x:c r="C14" s="23" t="str">
        <x:v>3. Human-led services</x:v>
      </x:c>
      <x:c r="D14" s="23" t="str"/>
      <x:c r="E14" s="23" t="str">
        <x:v>Not reviewed</x:v>
      </x:c>
      <x:c r="F14" s="23" t="str"/>
      <x:c r="G14" s="19" t="str">
        <x:f>IF(E14="Deferred","Deferred",IF(D14="","Assign owner",IF(E14="Not reviewed","Review decision",IF(F14="","Record acceptance evidence",IF(E14="Approved for pilot","Review complete","Resolve conditions")))))</x:f>
        <x:v>Assign owner</x:v>
      </x:c>
    </x:row>
    <x:row r="15" ht="33.75" customHeight="1">
      <x:c r="A15" s="20" t="str">
        <x:v>T010</x:v>
      </x:c>
      <x:c r="B15" s="20" t="str">
        <x:v>Orientation and education tracking</x:v>
      </x:c>
      <x:c r="C15" s="23" t="str">
        <x:v>1. Bounded operations</x:v>
      </x:c>
      <x:c r="D15" s="23" t="str"/>
      <x:c r="E15" s="23" t="str">
        <x:v>Not reviewed</x:v>
      </x:c>
      <x:c r="F15" s="23" t="str"/>
      <x:c r="G15" s="19" t="str">
        <x:f>IF(E15="Deferred","Deferred",IF(D15="","Assign owner",IF(E15="Not reviewed","Review decision",IF(F15="","Record acceptance evidence",IF(E15="Approved for pilot","Review complete","Resolve conditions")))))</x:f>
        <x:v>Assign owner</x:v>
      </x:c>
    </x:row>
    <x:row r="16" ht="33.75" customHeight="1">
      <x:c r="A16" s="19" t="str">
        <x:v>T011</x:v>
      </x:c>
      <x:c r="B16" s="19" t="str">
        <x:v>Clinician coaching and concern resolution</x:v>
      </x:c>
      <x:c r="C16" s="23" t="str">
        <x:v>3. Human-led services</x:v>
      </x:c>
      <x:c r="D16" s="23" t="str"/>
      <x:c r="E16" s="23" t="str">
        <x:v>Not reviewed</x:v>
      </x:c>
      <x:c r="F16" s="23" t="str"/>
      <x:c r="G16" s="19" t="str">
        <x:f>IF(E16="Deferred","Deferred",IF(D16="","Assign owner",IF(E16="Not reviewed","Review decision",IF(F16="","Record acceptance evidence",IF(E16="Approved for pilot","Review complete","Resolve conditions")))))</x:f>
        <x:v>Assign owner</x:v>
      </x:c>
    </x:row>
    <x:row r="17" ht="33.75" customHeight="1">
      <x:c r="A17" s="20" t="str">
        <x:v>T012</x:v>
      </x:c>
      <x:c r="B17" s="20" t="str">
        <x:v>Project plan and status operations</x:v>
      </x:c>
      <x:c r="C17" s="23" t="str">
        <x:v>1. Bounded operations</x:v>
      </x:c>
      <x:c r="D17" s="23" t="str"/>
      <x:c r="E17" s="23" t="str">
        <x:v>Not reviewed</x:v>
      </x:c>
      <x:c r="F17" s="23" t="str"/>
      <x:c r="G17" s="19" t="str">
        <x:f>IF(E17="Deferred","Deferred",IF(D17="","Assign owner",IF(E17="Not reviewed","Review decision",IF(F17="","Record acceptance evidence",IF(E17="Approved for pilot","Review complete","Resolve conditions")))))</x:f>
        <x:v>Assign owner</x:v>
      </x:c>
    </x:row>
    <x:row r="18" ht="33.75" customHeight="1">
      <x:c r="A18" s="19" t="str">
        <x:v>T013</x:v>
      </x:c>
      <x:c r="B18" s="19" t="str">
        <x:v>Process improvement recommendation</x:v>
      </x:c>
      <x:c r="C18" s="23" t="str">
        <x:v>2. Approval workflows</x:v>
      </x:c>
      <x:c r="D18" s="23" t="str"/>
      <x:c r="E18" s="23" t="str">
        <x:v>Not reviewed</x:v>
      </x:c>
      <x:c r="F18" s="23" t="str"/>
      <x:c r="G18" s="19" t="str">
        <x:f>IF(E18="Deferred","Deferred",IF(D18="","Assign owner",IF(E18="Not reviewed","Review decision",IF(F18="","Record acceptance evidence",IF(E18="Approved for pilot","Review complete","Resolve conditions")))))</x:f>
        <x:v>Assign owner</x:v>
      </x:c>
    </x:row>
    <x:row r="19" ht="33.75" customHeight="1">
      <x:c r="A19" s="20" t="str">
        <x:v>T014</x:v>
      </x:c>
      <x:c r="B19" s="20" t="str">
        <x:v>Billable revenue validation</x:v>
      </x:c>
      <x:c r="C19" s="23" t="str">
        <x:v>1. Bounded operations</x:v>
      </x:c>
      <x:c r="D19" s="23" t="str"/>
      <x:c r="E19" s="23" t="str">
        <x:v>Not reviewed</x:v>
      </x:c>
      <x:c r="F19" s="23" t="str"/>
      <x:c r="G19" s="19" t="str">
        <x:f>IF(E19="Deferred","Deferred",IF(D19="","Assign owner",IF(E19="Not reviewed","Review decision",IF(F19="","Record acceptance evidence",IF(E19="Approved for pilot","Review complete","Resolve conditions")))))</x:f>
        <x:v>Assign owner</x:v>
      </x:c>
    </x:row>
    <x:row r="20" ht="33.75" customHeight="1">
      <x:c r="A20" s="19" t="str">
        <x:v>T015</x:v>
      </x:c>
      <x:c r="B20" s="19" t="str">
        <x:v>Invoice creation and delivery</x:v>
      </x:c>
      <x:c r="C20" s="23" t="str">
        <x:v>1. Bounded operations</x:v>
      </x:c>
      <x:c r="D20" s="23" t="str"/>
      <x:c r="E20" s="23" t="str">
        <x:v>Not reviewed</x:v>
      </x:c>
      <x:c r="F20" s="23" t="str"/>
      <x:c r="G20" s="19" t="str">
        <x:f>IF(E20="Deferred","Deferred",IF(D20="","Assign owner",IF(E20="Not reviewed","Review decision",IF(F20="","Record acceptance evidence",IF(E20="Approved for pilot","Review complete","Resolve conditions")))))</x:f>
        <x:v>Assign owner</x:v>
      </x:c>
    </x:row>
    <x:row r="21" ht="33.75" customHeight="1">
      <x:c r="A21" s="20" t="str">
        <x:v>T016</x:v>
      </x:c>
      <x:c r="B21" s="20" t="str">
        <x:v>Invoice corrections and credit proposals</x:v>
      </x:c>
      <x:c r="C21" s="23" t="str">
        <x:v>2. Approval workflows</x:v>
      </x:c>
      <x:c r="D21" s="23" t="str"/>
      <x:c r="E21" s="23" t="str">
        <x:v>Not reviewed</x:v>
      </x:c>
      <x:c r="F21" s="23" t="str"/>
      <x:c r="G21" s="19" t="str">
        <x:f>IF(E21="Deferred","Deferred",IF(D21="","Assign owner",IF(E21="Not reviewed","Review decision",IF(F21="","Record acceptance evidence",IF(E21="Approved for pilot","Review complete","Resolve conditions")))))</x:f>
        <x:v>Assign owner</x:v>
      </x:c>
    </x:row>
    <x:row r="22" ht="33.75" customHeight="1">
      <x:c r="A22" s="19" t="str">
        <x:v>T017</x:v>
      </x:c>
      <x:c r="B22" s="19" t="str">
        <x:v>Routine collections and cash matching</x:v>
      </x:c>
      <x:c r="C22" s="23" t="str">
        <x:v>1. Bounded operations</x:v>
      </x:c>
      <x:c r="D22" s="23" t="str"/>
      <x:c r="E22" s="23" t="str">
        <x:v>Not reviewed</x:v>
      </x:c>
      <x:c r="F22" s="23" t="str"/>
      <x:c r="G22" s="19" t="str">
        <x:f>IF(E22="Deferred","Deferred",IF(D22="","Assign owner",IF(E22="Not reviewed","Review decision",IF(F22="","Record acceptance evidence",IF(E22="Approved for pilot","Review complete","Resolve conditions")))))</x:f>
        <x:v>Assign owner</x:v>
      </x:c>
    </x:row>
    <x:row r="23" ht="33.75" customHeight="1">
      <x:c r="A23" s="20" t="str">
        <x:v>T018</x:v>
      </x:c>
      <x:c r="B23" s="20" t="str">
        <x:v>Client invoicing setup</x:v>
      </x:c>
      <x:c r="C23" s="23" t="str">
        <x:v>2. Approval workflows</x:v>
      </x:c>
      <x:c r="D23" s="23" t="str"/>
      <x:c r="E23" s="23" t="str">
        <x:v>Not reviewed</x:v>
      </x:c>
      <x:c r="F23" s="23" t="str"/>
      <x:c r="G23" s="19" t="str">
        <x:f>IF(E23="Deferred","Deferred",IF(D23="","Assign owner",IF(E23="Not reviewed","Review decision",IF(F23="","Record acceptance evidence",IF(E23="Approved for pilot","Review complete","Resolve conditions")))))</x:f>
        <x:v>Assign owner</x:v>
      </x:c>
    </x:row>
    <x:row r="24" ht="33.75" customHeight="1">
      <x:c r="A24" s="19" t="str">
        <x:v>T019</x:v>
      </x:c>
      <x:c r="B24" s="19" t="str">
        <x:v>Claims chronology and deadline administration</x:v>
      </x:c>
      <x:c r="C24" s="23" t="str">
        <x:v>1. Bounded operations</x:v>
      </x:c>
      <x:c r="D24" s="23" t="str"/>
      <x:c r="E24" s="23" t="str">
        <x:v>Not reviewed</x:v>
      </x:c>
      <x:c r="F24" s="23" t="str"/>
      <x:c r="G24" s="19" t="str">
        <x:f>IF(E24="Deferred","Deferred",IF(D24="","Assign owner",IF(E24="Not reviewed","Review decision",IF(F24="","Record acceptance evidence",IF(E24="Approved for pilot","Review complete","Resolve conditions")))))</x:f>
        <x:v>Assign owner</x:v>
      </x:c>
    </x:row>
    <x:row r="25" ht="33.75" customHeight="1">
      <x:c r="A25" s="20" t="str">
        <x:v>T020</x:v>
      </x:c>
      <x:c r="B25" s="20" t="str">
        <x:v>Reserve and claim financial analysis</x:v>
      </x:c>
      <x:c r="C25" s="23" t="str">
        <x:v>2. Approval workflows</x:v>
      </x:c>
      <x:c r="D25" s="23" t="str"/>
      <x:c r="E25" s="23" t="str">
        <x:v>Not reviewed</x:v>
      </x:c>
      <x:c r="F25" s="23" t="str"/>
      <x:c r="G25" s="19" t="str">
        <x:f>IF(E25="Deferred","Deferred",IF(D25="","Assign owner",IF(E25="Not reviewed","Review decision",IF(F25="","Record acceptance evidence",IF(E25="Approved for pilot","Review complete","Resolve conditions")))))</x:f>
        <x:v>Assign owner</x:v>
      </x:c>
    </x:row>
    <x:row r="26" ht="33.75" customHeight="1">
      <x:c r="A26" s="19" t="str">
        <x:v>T021</x:v>
      </x:c>
      <x:c r="B26" s="19" t="str">
        <x:v>Claim resolution and employee support</x:v>
      </x:c>
      <x:c r="C26" s="23" t="str">
        <x:v>3. Human-led services</x:v>
      </x:c>
      <x:c r="D26" s="23" t="str"/>
      <x:c r="E26" s="23" t="str">
        <x:v>Not reviewed</x:v>
      </x:c>
      <x:c r="F26" s="23" t="str"/>
      <x:c r="G26" s="19" t="str">
        <x:f>IF(E26="Deferred","Deferred",IF(D26="","Assign owner",IF(E26="Not reviewed","Review decision",IF(F26="","Record acceptance evidence",IF(E26="Approved for pilot","Review complete","Resolve conditions")))))</x:f>
        <x:v>Assign owner</x:v>
      </x:c>
    </x:row>
    <x:row r="27" ht="33.75" customHeight="1">
      <x:c r="A27" s="20" t="str">
        <x:v>T022</x:v>
      </x:c>
      <x:c r="B27" s="20" t="str">
        <x:v>Internal content drafting and audience plan</x:v>
      </x:c>
      <x:c r="C27" s="23" t="str">
        <x:v>2. Approval workflows</x:v>
      </x:c>
      <x:c r="D27" s="23" t="str"/>
      <x:c r="E27" s="23" t="str">
        <x:v>Not reviewed</x:v>
      </x:c>
      <x:c r="F27" s="23" t="str"/>
      <x:c r="G27" s="19" t="str">
        <x:f>IF(E27="Deferred","Deferred",IF(D27="","Assign owner",IF(E27="Not reviewed","Review decision",IF(F27="","Record acceptance evidence",IF(E27="Approved for pilot","Review complete","Resolve conditions")))))</x:f>
        <x:v>Assign owner</x:v>
      </x:c>
    </x:row>
    <x:row r="28" ht="33.75" customHeight="1">
      <x:c r="A28" s="19" t="str">
        <x:v>T023</x:v>
      </x:c>
      <x:c r="B28" s="19" t="str">
        <x:v>Approved intranet publishing and content lifecycle</x:v>
      </x:c>
      <x:c r="C28" s="23" t="str">
        <x:v>1. Bounded operations</x:v>
      </x:c>
      <x:c r="D28" s="23" t="str"/>
      <x:c r="E28" s="23" t="str">
        <x:v>Not reviewed</x:v>
      </x:c>
      <x:c r="F28" s="23" t="str"/>
      <x:c r="G28" s="19" t="str">
        <x:f>IF(E28="Deferred","Deferred",IF(D28="","Assign owner",IF(E28="Not reviewed","Review decision",IF(F28="","Record acceptance evidence",IF(E28="Approved for pilot","Review complete","Resolve conditions")))))</x:f>
        <x:v>Assign owner</x:v>
      </x:c>
    </x:row>
    <x:row r="29" ht="33.75" customHeight="1">
      <x:c r="A29" s="20" t="str">
        <x:v>T024</x:v>
      </x:c>
      <x:c r="B29" s="20" t="str">
        <x:v>Intranet analytics and improvement proposals</x:v>
      </x:c>
      <x:c r="C29" s="23" t="str">
        <x:v>2. Approval workflows</x:v>
      </x:c>
      <x:c r="D29" s="23" t="str"/>
      <x:c r="E29" s="23" t="str">
        <x:v>Not reviewed</x:v>
      </x:c>
      <x:c r="F29" s="23" t="str"/>
      <x:c r="G29" s="19" t="str">
        <x:f>IF(E29="Deferred","Deferred",IF(D29="","Assign owner",IF(E29="Not reviewed","Review decision",IF(F29="","Record acceptance evidence",IF(E29="Approved for pilot","Review complete","Resolve conditions")))))</x:f>
        <x:v>Assign owner</x:v>
      </x:c>
    </x:row>
    <x:row r="30" ht="33.75" customHeight="1">
      <x:c r="A30" s="19" t="str">
        <x:v>T025</x:v>
      </x:c>
      <x:c r="B30" s="19" t="str">
        <x:v>MSP revenue operations dashboard</x:v>
      </x:c>
      <x:c r="C30" s="23" t="str">
        <x:v>1. Bounded operations</x:v>
      </x:c>
      <x:c r="D30" s="23" t="str"/>
      <x:c r="E30" s="23" t="str">
        <x:v>Not reviewed</x:v>
      </x:c>
      <x:c r="F30" s="23" t="str"/>
      <x:c r="G30" s="19" t="str">
        <x:f>IF(E30="Deferred","Deferred",IF(D30="","Assign owner",IF(E30="Not reviewed","Review decision",IF(F30="","Record acceptance evidence",IF(E30="Approved for pilot","Review complete","Resolve conditions")))))</x:f>
        <x:v>Assign owner</x:v>
      </x:c>
    </x:row>
    <x:row r="31" ht="33.75" customHeight="1">
      <x:c r="A31" s="20" t="str">
        <x:v>T026</x:v>
      </x:c>
      <x:c r="B31" s="20" t="str">
        <x:v>MSP customer billing implementation</x:v>
      </x:c>
      <x:c r="C31" s="23" t="str">
        <x:v>2. Approval workflows</x:v>
      </x:c>
      <x:c r="D31" s="23" t="str"/>
      <x:c r="E31" s="23" t="str">
        <x:v>Not reviewed</x:v>
      </x:c>
      <x:c r="F31" s="23" t="str"/>
      <x:c r="G31" s="19" t="str">
        <x:f>IF(E31="Deferred","Deferred",IF(D31="","Assign owner",IF(E31="Not reviewed","Review decision",IF(F31="","Record acceptance evidence",IF(E31="Approved for pilot","Review complete","Resolve conditions")))))</x:f>
        <x:v>Assign owner</x:v>
      </x:c>
    </x:row>
    <x:row r="32" ht="33.75" customHeight="1">
      <x:c r="A32" s="19" t="str">
        <x:v>T027</x:v>
      </x:c>
      <x:c r="B32" s="19" t="str">
        <x:v>Escalated payer and supplier-payment decisions</x:v>
      </x:c>
      <x:c r="C32" s="23" t="str">
        <x:v>3. Human-led services</x:v>
      </x:c>
      <x:c r="D32" s="23" t="str"/>
      <x:c r="E32" s="23" t="str">
        <x:v>Not reviewed</x:v>
      </x:c>
      <x:c r="F32" s="23" t="str"/>
      <x:c r="G32" s="19" t="str">
        <x:f>IF(E32="Deferred","Deferred",IF(D32="","Assign owner",IF(E32="Not reviewed","Review decision",IF(F32="","Record acceptance evidence",IF(E32="Approved for pilot","Review complete","Resolve conditions")))))</x:f>
        <x:v>Assign owner</x:v>
      </x:c>
    </x:row>
    <x:row r="33" ht="33.75" customHeight="1">
      <x:c r="A33" s="20" t="str">
        <x:v>T028</x:v>
      </x:c>
      <x:c r="B33" s="20" t="str">
        <x:v>Financial reporting production</x:v>
      </x:c>
      <x:c r="C33" s="23" t="str">
        <x:v>1. Bounded operations</x:v>
      </x:c>
      <x:c r="D33" s="23" t="str"/>
      <x:c r="E33" s="23" t="str">
        <x:v>Not reviewed</x:v>
      </x:c>
      <x:c r="F33" s="23" t="str"/>
      <x:c r="G33" s="19" t="str">
        <x:f>IF(E33="Deferred","Deferred",IF(D33="","Assign owner",IF(E33="Not reviewed","Review decision",IF(F33="","Record acceptance evidence",IF(E33="Approved for pilot","Review complete","Resolve conditions")))))</x:f>
        <x:v>Assign owner</x:v>
      </x:c>
    </x:row>
    <x:row r="34" ht="33.75" customHeight="1">
      <x:c r="A34" s="19" t="str">
        <x:v>T029</x:v>
      </x:c>
      <x:c r="B34" s="19" t="str">
        <x:v>Forecast and profitability recommendations</x:v>
      </x:c>
      <x:c r="C34" s="23" t="str">
        <x:v>2. Approval workflows</x:v>
      </x:c>
      <x:c r="D34" s="23" t="str"/>
      <x:c r="E34" s="23" t="str">
        <x:v>Not reviewed</x:v>
      </x:c>
      <x:c r="F34" s="23" t="str"/>
      <x:c r="G34" s="19" t="str">
        <x:f>IF(E34="Deferred","Deferred",IF(D34="","Assign owner",IF(E34="Not reviewed","Review decision",IF(F34="","Record acceptance evidence",IF(E34="Approved for pilot","Review complete","Resolve conditions")))))</x:f>
        <x:v>Assign owner</x:v>
      </x:c>
    </x:row>
    <x:row r="35" ht="33.75" customHeight="1">
      <x:c r="A35" s="20" t="str">
        <x:v>T030</x:v>
      </x:c>
      <x:c r="B35" s="20" t="str">
        <x:v>Market/account research and proposal preparation</x:v>
      </x:c>
      <x:c r="C35" s="23" t="str">
        <x:v>2. Approval workflows</x:v>
      </x:c>
      <x:c r="D35" s="23" t="str"/>
      <x:c r="E35" s="23" t="str">
        <x:v>Not reviewed</x:v>
      </x:c>
      <x:c r="F35" s="23" t="str"/>
      <x:c r="G35" s="19" t="str">
        <x:f>IF(E35="Deferred","Deferred",IF(D35="","Assign owner",IF(E35="Not reviewed","Review decision",IF(F35="","Record acceptance evidence",IF(E35="Approved for pilot","Review complete","Resolve conditions")))))</x:f>
        <x:v>Assign owner</x:v>
      </x:c>
    </x:row>
    <x:row r="36" ht="33.75" customHeight="1">
      <x:c r="A36" s="19" t="str">
        <x:v>T031</x:v>
      </x:c>
      <x:c r="B36" s="19" t="str">
        <x:v>Account relationship and negotiation</x:v>
      </x:c>
      <x:c r="C36" s="23" t="str">
        <x:v>3. Human-led services</x:v>
      </x:c>
      <x:c r="D36" s="23" t="str"/>
      <x:c r="E36" s="23" t="str">
        <x:v>Not reviewed</x:v>
      </x:c>
      <x:c r="F36" s="23" t="str"/>
      <x:c r="G36" s="19" t="str">
        <x:f>IF(E36="Deferred","Deferred",IF(D36="","Assign owner",IF(E36="Not reviewed","Review decision",IF(F36="","Record acceptance evidence",IF(E36="Approved for pilot","Review complete","Resolve conditions")))))</x:f>
        <x:v>Assign owner</x:v>
      </x:c>
    </x:row>
    <x:row r="37" ht="33.75" customHeight="1">
      <x:c r="A37" s="20" t="str">
        <x:v>T032</x:v>
      </x:c>
      <x:c r="B37" s="20" t="str">
        <x:v>Recruiting team management</x:v>
      </x:c>
      <x:c r="C37" s="23" t="str">
        <x:v>3. Human-led services</x:v>
      </x:c>
      <x:c r="D37" s="23" t="str"/>
      <x:c r="E37" s="23" t="str">
        <x:v>Not reviewed</x:v>
      </x:c>
      <x:c r="F37" s="23" t="str"/>
      <x:c r="G37" s="19" t="str">
        <x:f>IF(E37="Deferred","Deferred",IF(D37="","Assign owner",IF(E37="Not reviewed","Review decision",IF(F37="","Record acceptance evidence",IF(E37="Approved for pilot","Review complete","Resolve conditions")))))</x:f>
        <x:v>Assign owner</x:v>
      </x:c>
    </x:row>
    <x:row r="38" ht="33.75" customHeight="1">
      <x:c r="A38" s="19" t="str">
        <x:v>T033</x:v>
      </x:c>
      <x:c r="B38" s="19" t="str">
        <x:v>Business activity and meeting administration</x:v>
      </x:c>
      <x:c r="C38" s="23" t="str">
        <x:v>1. Bounded operations</x:v>
      </x:c>
      <x:c r="D38" s="23" t="str"/>
      <x:c r="E38" s="23" t="str">
        <x:v>Not reviewed</x:v>
      </x:c>
      <x:c r="F38" s="23" t="str"/>
      <x:c r="G38" s="19" t="str">
        <x:f>IF(E38="Deferred","Deferred",IF(D38="","Assign owner",IF(E38="Not reviewed","Review decision",IF(F38="","Record acceptance evidence",IF(E38="Approved for pilot","Review complete","Resolve conditions")))))</x:f>
        <x:v>Assign owner</x:v>
      </x:c>
    </x:row>
    <x:row r="39" ht="33.75" customHeight="1">
      <x:c r="A39" s="20" t="str">
        <x:v>T034</x:v>
      </x:c>
      <x:c r="B39" s="20" t="str">
        <x:v>MSP service and SLA monitoring</x:v>
      </x:c>
      <x:c r="C39" s="23" t="str">
        <x:v>1. Bounded operations</x:v>
      </x:c>
      <x:c r="D39" s="23" t="str"/>
      <x:c r="E39" s="23" t="str">
        <x:v>Not reviewed</x:v>
      </x:c>
      <x:c r="F39" s="23" t="str"/>
      <x:c r="G39" s="19" t="str">
        <x:f>IF(E39="Deferred","Deferred",IF(D39="","Assign owner",IF(E39="Not reviewed","Review decision",IF(F39="","Record acceptance evidence",IF(E39="Approved for pilot","Review complete","Resolve conditions")))))</x:f>
        <x:v>Assign owner</x:v>
      </x:c>
    </x:row>
    <x:row r="40" ht="33.75" customHeight="1">
      <x:c r="A40" s="19" t="str">
        <x:v>T035</x:v>
      </x:c>
      <x:c r="B40" s="19" t="str">
        <x:v>MSP client/supplier issue coordination</x:v>
      </x:c>
      <x:c r="C40" s="23" t="str">
        <x:v>2. Approval workflows</x:v>
      </x:c>
      <x:c r="D40" s="23" t="str"/>
      <x:c r="E40" s="23" t="str">
        <x:v>Not reviewed</x:v>
      </x:c>
      <x:c r="F40" s="23" t="str"/>
      <x:c r="G40" s="19" t="str">
        <x:f>IF(E40="Deferred","Deferred",IF(D40="","Assign owner",IF(E40="Not reviewed","Review decision",IF(F40="","Record acceptance evidence",IF(E40="Approved for pilot","Review complete","Resolve conditions")))))</x:f>
        <x:v>Assign owner</x:v>
      </x:c>
    </x:row>
    <x:row r="41" ht="33.75" customHeight="1">
      <x:c r="A41" s="20" t="str">
        <x:v>T036</x:v>
      </x:c>
      <x:c r="B41" s="20" t="str">
        <x:v>Enterprise opportunity and deal analysis</x:v>
      </x:c>
      <x:c r="C41" s="23" t="str">
        <x:v>2. Approval workflows</x:v>
      </x:c>
      <x:c r="D41" s="23" t="str"/>
      <x:c r="E41" s="23" t="str">
        <x:v>Not reviewed</x:v>
      </x:c>
      <x:c r="F41" s="23" t="str"/>
      <x:c r="G41" s="19" t="str">
        <x:f>IF(E41="Deferred","Deferred",IF(D41="","Assign owner",IF(E41="Not reviewed","Review decision",IF(F41="","Record acceptance evidence",IF(E41="Approved for pilot","Review complete","Resolve conditions")))))</x:f>
        <x:v>Assign owner</x:v>
      </x:c>
    </x:row>
    <x:row r="42" ht="33.75" customHeight="1">
      <x:c r="A42" s="19" t="str">
        <x:v>T037</x:v>
      </x:c>
      <x:c r="B42" s="19" t="str">
        <x:v>Enterprise agreement and operating handoff</x:v>
      </x:c>
      <x:c r="C42" s="23" t="str">
        <x:v>3. Human-led services</x:v>
      </x:c>
      <x:c r="D42" s="23" t="str"/>
      <x:c r="E42" s="23" t="str">
        <x:v>Not reviewed</x:v>
      </x:c>
      <x:c r="F42" s="23" t="str"/>
      <x:c r="G42" s="19" t="str">
        <x:f>IF(E42="Deferred","Deferred",IF(D42="","Assign owner",IF(E42="Not reviewed","Review decision",IF(F42="","Record acceptance evidence",IF(E42="Approved for pilot","Review complete","Resolve conditions")))))</x:f>
        <x:v>Assign owner</x:v>
      </x:c>
    </x:row>
    <x:row r="43" ht="33.75" customHeight="1">
      <x:c r="A43" s="20" t="str">
        <x:v>T038</x:v>
      </x:c>
      <x:c r="B43" s="20" t="str">
        <x:v>Network incident triage and design documentation</x:v>
      </x:c>
      <x:c r="C43" s="23" t="str">
        <x:v>2. Approval workflows</x:v>
      </x:c>
      <x:c r="D43" s="23" t="str"/>
      <x:c r="E43" s="23" t="str">
        <x:v>Not reviewed</x:v>
      </x:c>
      <x:c r="F43" s="23" t="str"/>
      <x:c r="G43" s="19" t="str">
        <x:f>IF(E43="Deferred","Deferred",IF(D43="","Assign owner",IF(E43="Not reviewed","Review decision",IF(F43="","Record acceptance evidence",IF(E43="Approved for pilot","Review complete","Resolve conditions")))))</x:f>
        <x:v>Assign owner</x:v>
      </x:c>
    </x:row>
    <x:row r="44" ht="33.75" customHeight="1">
      <x:c r="A44" s="19" t="str">
        <x:v>T039</x:v>
      </x:c>
      <x:c r="B44" s="19" t="str">
        <x:v>Controlled network change and major-incident leadership</x:v>
      </x:c>
      <x:c r="C44" s="23" t="str">
        <x:v>3. Human-led services</x:v>
      </x:c>
      <x:c r="D44" s="23" t="str"/>
      <x:c r="E44" s="23" t="str">
        <x:v>Not reviewed</x:v>
      </x:c>
      <x:c r="F44" s="23" t="str"/>
      <x:c r="G44" s="19" t="str">
        <x:f>IF(E44="Deferred","Deferred",IF(D44="","Assign owner",IF(E44="Not reviewed","Review decision",IF(F44="","Record acceptance evidence",IF(E44="Approved for pilot","Review complete","Resolve conditions")))))</x:f>
        <x:v>Assign owner</x:v>
      </x:c>
    </x:row>
    <x:row r="45" ht="33.75" customHeight="1">
      <x:c r="A45" s="20" t="str">
        <x:v>T040</x:v>
      </x:c>
      <x:c r="B45" s="20" t="str">
        <x:v>MSP configuration data collection and validation</x:v>
      </x:c>
      <x:c r="C45" s="23" t="str">
        <x:v>1. Bounded operations</x:v>
      </x:c>
      <x:c r="D45" s="23" t="str"/>
      <x:c r="E45" s="23" t="str">
        <x:v>Not reviewed</x:v>
      </x:c>
      <x:c r="F45" s="23" t="str"/>
      <x:c r="G45" s="19" t="str">
        <x:f>IF(E45="Deferred","Deferred",IF(D45="","Assign owner",IF(E45="Not reviewed","Review decision",IF(F45="","Record acceptance evidence",IF(E45="Approved for pilot","Review complete","Resolve conditions")))))</x:f>
        <x:v>Assign owner</x:v>
      </x:c>
    </x:row>
    <x:row r="46" ht="33.75" customHeight="1">
      <x:c r="A46" s="19" t="str">
        <x:v>T041</x:v>
      </x:c>
      <x:c r="B46" s="19" t="str">
        <x:v>Implementation checklist and readiness reporting</x:v>
      </x:c>
      <x:c r="C46" s="23" t="str">
        <x:v>1. Bounded operations</x:v>
      </x:c>
      <x:c r="D46" s="23" t="str"/>
      <x:c r="E46" s="23" t="str">
        <x:v>Not reviewed</x:v>
      </x:c>
      <x:c r="F46" s="23" t="str"/>
      <x:c r="G46" s="19" t="str">
        <x:f>IF(E46="Deferred","Deferred",IF(D46="","Assign owner",IF(E46="Not reviewed","Review decision",IF(F46="","Record acceptance evidence",IF(E46="Approved for pilot","Review complete","Resolve conditions")))))</x:f>
        <x:v>Assign owner</x:v>
      </x:c>
    </x:row>
    <x:row r="47" ht="33.75" customHeight="1">
      <x:c r="A47" s="20" t="str">
        <x:v>T042</x:v>
      </x:c>
      <x:c r="B47" s="20" t="str">
        <x:v>Training and enhancement preparation</x:v>
      </x:c>
      <x:c r="C47" s="23" t="str">
        <x:v>2. Approval workflows</x:v>
      </x:c>
      <x:c r="D47" s="23" t="str"/>
      <x:c r="E47" s="23" t="str">
        <x:v>Not reviewed</x:v>
      </x:c>
      <x:c r="F47" s="23" t="str"/>
      <x:c r="G47" s="19" t="str">
        <x:f>IF(E47="Deferred","Deferred",IF(D47="","Assign owner",IF(E47="Not reviewed","Review decision",IF(F47="","Record acceptance evidence",IF(E47="Approved for pilot","Review complete","Resolve conditions")))))</x:f>
        <x:v>Assign owner</x:v>
      </x:c>
    </x:row>
    <x:row r="48" ht="33.75" customHeight="1">
      <x:c r="A48" s="19" t="str">
        <x:v>T043</x:v>
      </x:c>
      <x:c r="B48" s="19" t="str">
        <x:v>Customer go-live and adoption acceptance</x:v>
      </x:c>
      <x:c r="C48" s="23" t="str">
        <x:v>3. Human-led services</x:v>
      </x:c>
      <x:c r="D48" s="23" t="str"/>
      <x:c r="E48" s="23" t="str">
        <x:v>Not reviewed</x:v>
      </x:c>
      <x:c r="F48" s="23" t="str"/>
      <x:c r="G48" s="19" t="str">
        <x:f>IF(E48="Deferred","Deferred",IF(D48="","Assign owner",IF(E48="Not reviewed","Review decision",IF(F48="","Record acceptance evidence",IF(E48="Approved for pilot","Review complete","Resolve conditions")))))</x:f>
        <x:v>Assign owner</x:v>
      </x:c>
    </x:row>
    <x:row r="49" ht="33.75" customHeight="1">
      <x:c r="A49" s="20" t="str">
        <x:v>T044</x:v>
      </x:c>
      <x:c r="B49" s="20" t="str">
        <x:v>Credential rulebook drafting and refresh</x:v>
      </x:c>
      <x:c r="C49" s="23" t="str">
        <x:v>2. Approval workflows</x:v>
      </x:c>
      <x:c r="D49" s="23" t="str"/>
      <x:c r="E49" s="23" t="str">
        <x:v>Not reviewed</x:v>
      </x:c>
      <x:c r="F49" s="23" t="str"/>
      <x:c r="G49" s="19" t="str">
        <x:f>IF(E49="Deferred","Deferred",IF(D49="","Assign owner",IF(E49="Not reviewed","Review decision",IF(F49="","Record acceptance evidence",IF(E49="Approved for pilot","Review complete","Resolve conditions")))))</x:f>
        <x:v>Assign owner</x:v>
      </x:c>
    </x:row>
    <x:row r="50" ht="33.75" customHeight="1">
      <x:c r="A50" s="19" t="str">
        <x:v>T045</x:v>
      </x:c>
      <x:c r="B50" s="19" t="str">
        <x:v>Credential expiry monitoring and audit sampling</x:v>
      </x:c>
      <x:c r="C50" s="23" t="str">
        <x:v>1. Bounded operations</x:v>
      </x:c>
      <x:c r="D50" s="23" t="str"/>
      <x:c r="E50" s="23" t="str">
        <x:v>Not reviewed</x:v>
      </x:c>
      <x:c r="F50" s="23" t="str"/>
      <x:c r="G50" s="19" t="str">
        <x:f>IF(E50="Deferred","Deferred",IF(D50="","Assign owner",IF(E50="Not reviewed","Review decision",IF(F50="","Record acceptance evidence",IF(E50="Approved for pilot","Review complete","Resolve conditions")))))</x:f>
        <x:v>Assign owner</x:v>
      </x:c>
    </x:row>
    <x:row r="51" ht="33.75" customHeight="1">
      <x:c r="A51" s="20" t="str">
        <x:v>T046</x:v>
      </x:c>
      <x:c r="B51" s="20" t="str">
        <x:v>Credential exception and audit disposition</x:v>
      </x:c>
      <x:c r="C51" s="23" t="str">
        <x:v>3. Human-led services</x:v>
      </x:c>
      <x:c r="D51" s="23" t="str"/>
      <x:c r="E51" s="23" t="str">
        <x:v>Not reviewed</x:v>
      </x:c>
      <x:c r="F51" s="23" t="str"/>
      <x:c r="G51" s="19" t="str">
        <x:f>IF(E51="Deferred","Deferred",IF(D51="","Assign owner",IF(E51="Not reviewed","Review decision",IF(F51="","Record acceptance evidence",IF(E51="Approved for pilot","Review complete","Resolve conditions")))))</x:f>
        <x:v>Assign owner</x:v>
      </x:c>
    </x:row>
    <x:row r="52" ht="33.75" customHeight="1">
      <x:c r="A52" s="19" t="str">
        <x:v>T047</x:v>
      </x:c>
      <x:c r="B52" s="19" t="str">
        <x:v>Regional budget and expense analysis</x:v>
      </x:c>
      <x:c r="C52" s="23" t="str">
        <x:v>2. Approval workflows</x:v>
      </x:c>
      <x:c r="D52" s="23" t="str"/>
      <x:c r="E52" s="23" t="str">
        <x:v>Not reviewed</x:v>
      </x:c>
      <x:c r="F52" s="23" t="str"/>
      <x:c r="G52" s="19" t="str">
        <x:f>IF(E52="Deferred","Deferred",IF(D52="","Assign owner",IF(E52="Not reviewed","Review decision",IF(F52="","Record acceptance evidence",IF(E52="Approved for pilot","Review complete","Resolve conditions")))))</x:f>
        <x:v>Assign owner</x:v>
      </x:c>
    </x:row>
    <x:row r="53" ht="33.75" customHeight="1">
      <x:c r="A53" s="20" t="str">
        <x:v>T048</x:v>
      </x:c>
      <x:c r="B53" s="20" t="str">
        <x:v>RFP financial and operational review</x:v>
      </x:c>
      <x:c r="C53" s="23" t="str">
        <x:v>2. Approval workflows</x:v>
      </x:c>
      <x:c r="D53" s="23" t="str"/>
      <x:c r="E53" s="23" t="str">
        <x:v>Not reviewed</x:v>
      </x:c>
      <x:c r="F53" s="23" t="str"/>
      <x:c r="G53" s="19" t="str">
        <x:f>IF(E53="Deferred","Deferred",IF(D53="","Assign owner",IF(E53="Not reviewed","Review decision",IF(F53="","Record acceptance evidence",IF(E53="Approved for pilot","Review complete","Resolve conditions")))))</x:f>
        <x:v>Assign owner</x:v>
      </x:c>
    </x:row>
    <x:row r="54" ht="33.75" customHeight="1">
      <x:c r="A54" s="19" t="str">
        <x:v>T049</x:v>
      </x:c>
      <x:c r="B54" s="19" t="str">
        <x:v>Cross-department financial case routing</x:v>
      </x:c>
      <x:c r="C54" s="23" t="str">
        <x:v>1. Bounded operations</x:v>
      </x:c>
      <x:c r="D54" s="23" t="str"/>
      <x:c r="E54" s="23" t="str">
        <x:v>Not reviewed</x:v>
      </x:c>
      <x:c r="F54" s="23" t="str"/>
      <x:c r="G54" s="19" t="str">
        <x:f>IF(E54="Deferred","Deferred",IF(D54="","Assign owner",IF(E54="Not reviewed","Review decision",IF(F54="","Record acceptance evidence",IF(E54="Approved for pilot","Review complete","Resolve conditions")))))</x:f>
        <x:v>Assign owner</x:v>
      </x:c>
    </x:row>
    <x:row r="55" ht="33.75" customHeight="1">
      <x:c r="A55" s="20" t="str">
        <x:v>T050</x:v>
      </x:c>
      <x:c r="B55" s="20" t="str">
        <x:v>Payroll/billing quality assurance</x:v>
      </x:c>
      <x:c r="C55" s="23" t="str">
        <x:v>2. Approval workflows</x:v>
      </x:c>
      <x:c r="D55" s="23" t="str"/>
      <x:c r="E55" s="23" t="str">
        <x:v>Not reviewed</x:v>
      </x:c>
      <x:c r="F55" s="23" t="str"/>
      <x:c r="G55" s="19" t="str">
        <x:f>IF(E55="Deferred","Deferred",IF(D55="","Assign owner",IF(E55="Not reviewed","Review decision",IF(F55="","Record acceptance evidence",IF(E55="Approved for pilot","Review complete","Resolve conditions")))))</x:f>
        <x:v>Assign owner</x:v>
      </x:c>
    </x:row>
    <x:row r="56" ht="33.75" customHeight="1">
      <x:c r="A56" s="19" t="str">
        <x:v>T051</x:v>
      </x:c>
      <x:c r="B56" s="19" t="str">
        <x:v>Office administration and routine operational reports</x:v>
      </x:c>
      <x:c r="C56" s="23" t="str">
        <x:v>1. Bounded operations</x:v>
      </x:c>
      <x:c r="D56" s="23" t="str"/>
      <x:c r="E56" s="23" t="str">
        <x:v>Not reviewed</x:v>
      </x:c>
      <x:c r="F56" s="23" t="str"/>
      <x:c r="G56" s="19" t="str">
        <x:f>IF(E56="Deferred","Deferred",IF(D56="","Assign owner",IF(E56="Not reviewed","Review decision",IF(F56="","Record acceptance evidence",IF(E56="Approved for pilot","Review complete","Resolve conditions")))))</x:f>
        <x:v>Assign owner</x:v>
      </x:c>
    </x:row>
    <x:row r="57" ht="33.75" customHeight="1">
      <x:c r="A57" s="20" t="str">
        <x:v>T052</x:v>
      </x:c>
      <x:c r="B57" s="20" t="str">
        <x:v>Grievance and incident intake</x:v>
      </x:c>
      <x:c r="C57" s="23" t="str">
        <x:v>1. Bounded operations</x:v>
      </x:c>
      <x:c r="D57" s="23" t="str"/>
      <x:c r="E57" s="23" t="str">
        <x:v>Not reviewed</x:v>
      </x:c>
      <x:c r="F57" s="23" t="str"/>
      <x:c r="G57" s="19" t="str">
        <x:f>IF(E57="Deferred","Deferred",IF(D57="","Assign owner",IF(E57="Not reviewed","Review decision",IF(F57="","Record acceptance evidence",IF(E57="Approved for pilot","Review complete","Resolve conditions")))))</x:f>
        <x:v>Assign owner</x:v>
      </x:c>
    </x:row>
    <x:row r="58" ht="33.75" customHeight="1">
      <x:c r="A58" s="19" t="str">
        <x:v>T053</x:v>
      </x:c>
      <x:c r="B58" s="19" t="str">
        <x:v>Grievance, claim and corrective-action decisions</x:v>
      </x:c>
      <x:c r="C58" s="23" t="str">
        <x:v>3. Human-led services</x:v>
      </x:c>
      <x:c r="D58" s="23" t="str"/>
      <x:c r="E58" s="23" t="str">
        <x:v>Not reviewed</x:v>
      </x:c>
      <x:c r="F58" s="23" t="str"/>
      <x:c r="G58" s="19" t="str">
        <x:f>IF(E58="Deferred","Deferred",IF(D58="","Assign owner",IF(E58="Not reviewed","Review decision",IF(F58="","Record acceptance evidence",IF(E58="Approved for pilot","Review complete","Resolve conditions")))))</x:f>
        <x:v>Assign owner</x:v>
      </x:c>
    </x:row>
    <x:row r="59" ht="33.75" customHeight="1">
      <x:c r="A59" s="20" t="str">
        <x:v>T054</x:v>
      </x:c>
      <x:c r="B59" s="20" t="str">
        <x:v>Personnel and operating compliance leadership</x:v>
      </x:c>
      <x:c r="C59" s="23" t="str">
        <x:v>3. Human-led services</x:v>
      </x:c>
      <x:c r="D59" s="23" t="str"/>
      <x:c r="E59" s="23" t="str">
        <x:v>Not reviewed</x:v>
      </x:c>
      <x:c r="F59" s="23" t="str"/>
      <x:c r="G59" s="19" t="str">
        <x:f>IF(E59="Deferred","Deferred",IF(D59="","Assign owner",IF(E59="Not reviewed","Review decision",IF(F59="","Record acceptance evidence",IF(E59="Approved for pilot","Review complete","Resolve conditions")))))</x:f>
        <x:v>Assign owner</x:v>
      </x:c>
    </x:row>
    <x:row r="60" ht="33.75" customHeight="1">
      <x:c r="A60" s="19" t="str">
        <x:v>T055</x:v>
      </x:c>
      <x:c r="B60" s="19" t="str">
        <x:v>Marketing research and content drafting</x:v>
      </x:c>
      <x:c r="C60" s="23" t="str">
        <x:v>2. Approval workflows</x:v>
      </x:c>
      <x:c r="D60" s="23" t="str"/>
      <x:c r="E60" s="23" t="str">
        <x:v>Not reviewed</x:v>
      </x:c>
      <x:c r="F60" s="23" t="str"/>
      <x:c r="G60" s="19" t="str">
        <x:f>IF(E60="Deferred","Deferred",IF(D60="","Assign owner",IF(E60="Not reviewed","Review decision",IF(F60="","Record acceptance evidence",IF(E60="Approved for pilot","Review complete","Resolve conditions")))))</x:f>
        <x:v>Assign owner</x:v>
      </x:c>
    </x:row>
    <x:row r="61" ht="33.75" customHeight="1">
      <x:c r="A61" s="20" t="str">
        <x:v>T056</x:v>
      </x:c>
      <x:c r="B61" s="20" t="str">
        <x:v>Specialist review orchestration</x:v>
      </x:c>
      <x:c r="C61" s="23" t="str">
        <x:v>1. Bounded operations</x:v>
      </x:c>
      <x:c r="D61" s="23" t="str"/>
      <x:c r="E61" s="23" t="str">
        <x:v>Not reviewed</x:v>
      </x:c>
      <x:c r="F61" s="23" t="str"/>
      <x:c r="G61" s="19" t="str">
        <x:f>IF(E61="Deferred","Deferred",IF(D61="","Assign owner",IF(E61="Not reviewed","Review decision",IF(F61="","Record acceptance evidence",IF(E61="Approved for pilot","Review complete","Resolve conditions")))))</x:f>
        <x:v>Assign owner</x:v>
      </x:c>
    </x:row>
    <x:row r="62" ht="33.75" customHeight="1">
      <x:c r="A62" s="19" t="str">
        <x:v>T057</x:v>
      </x:c>
      <x:c r="B62" s="19" t="str">
        <x:v>Approved asset publishing and performance reporting</x:v>
      </x:c>
      <x:c r="C62" s="23" t="str">
        <x:v>1. Bounded operations</x:v>
      </x:c>
      <x:c r="D62" s="23" t="str"/>
      <x:c r="E62" s="23" t="str">
        <x:v>Not reviewed</x:v>
      </x:c>
      <x:c r="F62" s="23" t="str"/>
      <x:c r="G62" s="19" t="str">
        <x:f>IF(E62="Deferred","Deferred",IF(D62="","Assign owner",IF(E62="Not reviewed","Review decision",IF(F62="","Record acceptance evidence",IF(E62="Approved for pilot","Review complete","Resolve conditions")))))</x:f>
        <x:v>Assign owner</x:v>
      </x:c>
    </x:row>
    <x:row r="63" ht="33.75" customHeight="1">
      <x:c r="A63" s="20" t="str">
        <x:v>T058</x:v>
      </x:c>
      <x:c r="B63" s="20" t="str">
        <x:v>End-user support triage</x:v>
      </x:c>
      <x:c r="C63" s="23" t="str">
        <x:v>1. Bounded operations</x:v>
      </x:c>
      <x:c r="D63" s="23" t="str"/>
      <x:c r="E63" s="23" t="str">
        <x:v>Not reviewed</x:v>
      </x:c>
      <x:c r="F63" s="23" t="str"/>
      <x:c r="G63" s="19" t="str">
        <x:f>IF(E63="Deferred","Deferred",IF(D63="","Assign owner",IF(E63="Not reviewed","Review decision",IF(F63="","Record acceptance evidence",IF(E63="Approved for pilot","Review complete","Resolve conditions")))))</x:f>
        <x:v>Assign owner</x:v>
      </x:c>
    </x:row>
    <x:row r="64" ht="33.75" customHeight="1">
      <x:c r="A64" s="19" t="str">
        <x:v>T059</x:v>
      </x:c>
      <x:c r="B64" s="19" t="str">
        <x:v>Endpoint configuration and purchase recommendation</x:v>
      </x:c>
      <x:c r="C64" s="23" t="str">
        <x:v>2. Approval workflows</x:v>
      </x:c>
      <x:c r="D64" s="23" t="str"/>
      <x:c r="E64" s="23" t="str">
        <x:v>Not reviewed</x:v>
      </x:c>
      <x:c r="F64" s="23" t="str"/>
      <x:c r="G64" s="19" t="str">
        <x:f>IF(E64="Deferred","Deferred",IF(D64="","Assign owner",IF(E64="Not reviewed","Review decision",IF(F64="","Record acceptance evidence",IF(E64="Approved for pilot","Review complete","Resolve conditions")))))</x:f>
        <x:v>Assign owner</x:v>
      </x:c>
    </x:row>
    <x:row r="65" ht="33.75" customHeight="1">
      <x:c r="A65" s="20" t="str">
        <x:v>T060</x:v>
      </x:c>
      <x:c r="B65" s="20" t="str">
        <x:v>Candidate onboarding administration</x:v>
      </x:c>
      <x:c r="C65" s="23" t="str">
        <x:v>1. Bounded operations</x:v>
      </x:c>
      <x:c r="D65" s="23" t="str"/>
      <x:c r="E65" s="23" t="str">
        <x:v>Not reviewed</x:v>
      </x:c>
      <x:c r="F65" s="23" t="str"/>
      <x:c r="G65" s="19" t="str">
        <x:f>IF(E65="Deferred","Deferred",IF(D65="","Assign owner",IF(E65="Not reviewed","Review decision",IF(F65="","Record acceptance evidence",IF(E65="Approved for pilot","Review complete","Resolve conditions")))))</x:f>
        <x:v>Assign owner</x:v>
      </x:c>
    </x:row>
    <x:row r="66" ht="33.75" customHeight="1">
      <x:c r="A66" s="19" t="str">
        <x:v>T061</x:v>
      </x:c>
      <x:c r="B66" s="19" t="str">
        <x:v>Credential data extraction and validation</x:v>
      </x:c>
      <x:c r="C66" s="23" t="str">
        <x:v>1. Bounded operations</x:v>
      </x:c>
      <x:c r="D66" s="23" t="str"/>
      <x:c r="E66" s="23" t="str">
        <x:v>Not reviewed</x:v>
      </x:c>
      <x:c r="F66" s="23" t="str"/>
      <x:c r="G66" s="19" t="str">
        <x:f>IF(E66="Deferred","Deferred",IF(D66="","Assign owner",IF(E66="Not reviewed","Review decision",IF(F66="","Record acceptance evidence",IF(E66="Approved for pilot","Review complete","Resolve conditions")))))</x:f>
        <x:v>Assign owner</x:v>
      </x:c>
    </x:row>
    <x:row r="67" ht="33.75" customHeight="1">
      <x:c r="A67" s="20" t="str">
        <x:v>T062</x:v>
      </x:c>
      <x:c r="B67" s="20" t="str">
        <x:v>Credential renewal coordination</x:v>
      </x:c>
      <x:c r="C67" s="23" t="str">
        <x:v>1. Bounded operations</x:v>
      </x:c>
      <x:c r="D67" s="23" t="str"/>
      <x:c r="E67" s="23" t="str">
        <x:v>Not reviewed</x:v>
      </x:c>
      <x:c r="F67" s="23" t="str"/>
      <x:c r="G67" s="19" t="str">
        <x:f>IF(E67="Deferred","Deferred",IF(D67="","Assign owner",IF(E67="Not reviewed","Review decision",IF(F67="","Record acceptance evidence",IF(E67="Approved for pilot","Review complete","Resolve conditions")))))</x:f>
        <x:v>Assign owner</x:v>
      </x:c>
    </x:row>
    <x:row r="68" ht="33.75" customHeight="1">
      <x:c r="A68" s="19" t="str">
        <x:v>T063</x:v>
      </x:c>
      <x:c r="B68" s="19" t="str">
        <x:v>Work-readiness clearance</x:v>
      </x:c>
      <x:c r="C68" s="23" t="str">
        <x:v>3. Human-led services</x:v>
      </x:c>
      <x:c r="D68" s="23" t="str"/>
      <x:c r="E68" s="23" t="str">
        <x:v>Not reviewed</x:v>
      </x:c>
      <x:c r="F68" s="23" t="str"/>
      <x:c r="G68" s="19" t="str">
        <x:f>IF(E68="Deferred","Deferred",IF(D68="","Assign owner",IF(E68="Not reviewed","Review decision",IF(F68="","Record acceptance evidence",IF(E68="Approved for pilot","Review complete","Resolve conditions")))))</x:f>
        <x:v>Assign owner</x:v>
      </x:c>
    </x:row>
    <x:row r="69">
      <x:c r="A69" s="2"/>
      <x:c r="B69" s="2"/>
      <x:c r="C69" s="2"/>
      <x:c r="D69" s="2"/>
      <x:c r="E69" s="2"/>
      <x:c r="F69" s="2"/>
      <x:c r="G69" s="2"/>
    </x:row>
  </x:sheetData>
  <x:conditionalFormatting sqref="G6:G68">
    <x:cfRule type="containsText" dxfId="3" priority="1" operator="containsText" text="Assign owner"/>
    <x:cfRule type="containsText" dxfId="4" priority="2" operator="containsText" text="Record acceptance"/>
  </x:conditionalFormatting>
  <x:dataValidations count="2">
    <x:dataValidation type="list" sqref="C6:C68">
      <x:formula1>"1. Bounded operations,2. Approval workflows,3. Human-led services"</x:formula1>
    </x:dataValidation>
    <x:dataValidation type="list" sqref="E6:E68">
      <x:formula1>"Not reviewed,Approved for pilot,Needs changes,Deferred"</x:formula1>
    </x:dataValidation>
  </x:dataValidations>
  <x:pageMargins left="0.7" right="0.7" top="0.75" bottom="0.75" header="0.3" footer="0.3"/>
  <x:tableParts count="1">
    <x:tablePart xmlns:r="http://schemas.openxmlformats.org/officeDocument/2006/relationships" r:id="R0bd3415d65e74a49"/>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7.329999923706055" hidden="0" customWidth="1"/>
    <x:col min="2" max="2" width="33.33000183105469" hidden="0" customWidth="1"/>
    <x:col min="3" max="3" width="23.329999923706055" hidden="0" customWidth="1"/>
    <x:col min="4" max="4" width="26.110000610351562" hidden="0" customWidth="1"/>
    <x:col min="5" max="5" width="25.559999465942383" hidden="0" customWidth="1"/>
    <x:col min="6" max="6" width="28.889999389648438" hidden="0" customWidth="1"/>
    <x:col min="7" max="7" width="23.329999923706055" hidden="0" customWidth="1"/>
    <x:col min="8" max="8" width="13.329999923706055" hidden="0" customWidth="1"/>
  </x:cols>
  <x:sheetData>
    <x:row r="1" ht="12" customHeight="1">
      <x:c r="A1" s="2"/>
      <x:c r="B1" s="2"/>
      <x:c r="C1" s="2"/>
      <x:c r="D1" s="2"/>
      <x:c r="E1" s="2"/>
      <x:c r="F1" s="2"/>
      <x:c r="G1" s="2"/>
      <x:c r="H1" s="2"/>
    </x:row>
    <x:row r="2" ht="22.5" customHeight="1">
      <x:c r="A2" s="3" t="str">
        <x:v>Task evidence and proposed workflow</x:v>
      </x:c>
      <x:c r="B2" s="2"/>
      <x:c r="C2" s="2"/>
      <x:c r="D2" s="2"/>
      <x:c r="E2" s="2"/>
      <x:c r="F2" s="2"/>
      <x:c r="G2" s="2"/>
      <x:c r="H2" s="2"/>
    </x:row>
    <x:row r="3" ht="20.25" customHeight="1">
      <x:c r="A3" s="5" t="str">
        <x:v>Only public duties are observed; other fields are proposed. Source cells identify postings and retain full URLs in Excel notes.</x:v>
      </x:c>
      <x:c r="B3" s="6"/>
      <x:c r="C3" s="6"/>
      <x:c r="D3" s="6"/>
      <x:c r="E3" s="6"/>
      <x:c r="F3" s="6"/>
      <x:c r="G3" s="6"/>
      <x:c r="H3" s="6"/>
    </x:row>
    <x:row r="4">
      <x:c r="A4" s="2"/>
      <x:c r="B4" s="2"/>
      <x:c r="C4" s="2"/>
      <x:c r="D4" s="2"/>
      <x:c r="E4" s="2"/>
      <x:c r="F4" s="2"/>
      <x:c r="G4" s="2"/>
      <x:c r="H4" s="2"/>
    </x:row>
    <x:row r="5" ht="27" customHeight="1">
      <x:c r="A5" s="15" t="str">
        <x:v>Task ID</x:v>
      </x:c>
      <x:c r="B5" s="16" t="str">
        <x:v>Observed public duty</x:v>
      </x:c>
      <x:c r="C5" s="16" t="str">
        <x:v>Proposed trigger</x:v>
      </x:c>
      <x:c r="D5" s="16" t="str">
        <x:v>Proposed inputs</x:v>
      </x:c>
      <x:c r="E5" s="16" t="str">
        <x:v>Proposed output</x:v>
      </x:c>
      <x:c r="F5" s="16" t="str">
        <x:v>Proposed dependencies</x:v>
      </x:c>
      <x:c r="G5" s="16" t="str">
        <x:v>Proposed KPI</x:v>
      </x:c>
      <x:c r="H5" s="17" t="str">
        <x:v>Source posting IDs</x:v>
      </x:c>
    </x:row>
    <x:row r="6" ht="54.75" customHeight="1">
      <x:c r="A6" s="19" t="str">
        <x:v>T001</x:v>
      </x:c>
      <x:c r="B6" s="19" t="str">
        <x:v>Source through referrals, databases and networking.</x:v>
      </x:c>
      <x:c r="C6" s="19" t="str">
        <x:v>Approved requisition or replenishment request</x:v>
      </x:c>
      <x:c r="D6" s="19" t="str">
        <x:v>Job requirements
Consented candidate records
Allowed sourcing channels</x:v>
      </x:c>
      <x:c r="E6" s="19" t="str">
        <x:v>Evidence-linked candidate pool
Draft personalized outreach</x:v>
      </x:c>
      <x:c r="F6" s="19" t="str">
        <x:v>Approved job criteria
Consent and contact preferences
Candidate records</x:v>
      </x:c>
      <x:c r="G6" s="19" t="str">
        <x:v>Time to first qualified review
Source-to-interview conversion</x:v>
      </x:c>
      <x:c r="H6" s="24" t="str">
        <x:v>13443814</x:v>
      </x:c>
    </x:row>
    <x:row r="7" ht="54.75" customHeight="1">
      <x:c r="A7" s="20" t="str">
        <x:v>T002</x:v>
      </x:c>
      <x:c r="B7" s="20" t="str">
        <x:v>Cover inbound candidate/client calls and assist onboarding.</x:v>
      </x:c>
      <x:c r="C7" s="20" t="str">
        <x:v>Inbound inquiry or requested interview</x:v>
      </x:c>
      <x:c r="D7" s="20" t="str">
        <x:v>Approved FAQ
Requisition status
Availability
Contact preferences</x:v>
      </x:c>
      <x:c r="E7" s="20" t="str">
        <x:v>Acknowledgment
Scheduled administrative interview
Routed case</x:v>
      </x:c>
      <x:c r="F7" s="20" t="str">
        <x:v>Approved responses
Calendar availability
Identity checks</x:v>
      </x:c>
      <x:c r="G7" s="20" t="str">
        <x:v>Response time
Routing accuracy</x:v>
      </x:c>
      <x:c r="H7" s="25" t="str">
        <x:v>13949270</x:v>
      </x:c>
    </x:row>
    <x:row r="8" ht="54.75" customHeight="1">
      <x:c r="A8" s="19" t="str">
        <x:v>T003</x:v>
      </x:c>
      <x:c r="B8" s="19" t="str">
        <x:v>Interview candidates and check alignment with hiring criteria.</x:v>
      </x:c>
      <x:c r="C8" s="19" t="str">
        <x:v>Application ready for review</x:v>
      </x:c>
      <x:c r="D8" s="19" t="str">
        <x:v>Application
Job criteria
Evidence of licenses
Interview rubric</x:v>
      </x:c>
      <x:c r="E8" s="19" t="str">
        <x:v>Criteria/evidence checklist
Missing-information request
Interview briefing</x:v>
      </x:c>
      <x:c r="F8" s="19" t="str">
        <x:v>Validated job-related rubric
Human interviewer</x:v>
      </x:c>
      <x:c r="G8" s="19" t="str">
        <x:v>Review completeness
Unsupported assessment rate</x:v>
      </x:c>
      <x:c r="H8" s="24" t="str">
        <x:v>13443814</x:v>
      </x:c>
    </x:row>
    <x:row r="9" ht="54.75" customHeight="1">
      <x:c r="A9" s="20" t="str">
        <x:v>T004</x:v>
      </x:c>
      <x:c r="B9" s="20" t="str">
        <x:v>Negotiate pay and secure acceptance from clients and candidates.</x:v>
      </x:c>
      <x:c r="C9" s="20" t="str">
        <x:v>Qualified candidate and client interest</x:v>
      </x:c>
      <x:c r="D9" s="20" t="str">
        <x:v>Approved rates
Candidate requests
Assignment costs
Contract terms</x:v>
      </x:c>
      <x:c r="E9" s="20" t="str">
        <x:v>Compensation scenario
Draft offer and placement packet</x:v>
      </x:c>
      <x:c r="F9" s="20" t="str">
        <x:v>Finance rate rules
Client approval
Candidate acceptance</x:v>
      </x:c>
      <x:c r="G9" s="20" t="str">
        <x:v>Offer turnaround
Margin exception rate</x:v>
      </x:c>
      <x:c r="H9" s="25" t="str">
        <x:v>13443814</x:v>
      </x:c>
    </x:row>
    <x:row r="10" ht="43.5" customHeight="1">
      <x:c r="A10" s="19" t="str">
        <x:v>T005</x:v>
      </x:c>
      <x:c r="B10" s="19" t="str">
        <x:v>Recruiters screen/select/place and negotiate compensation.</x:v>
      </x:c>
      <x:c r="C10" s="19" t="str">
        <x:v>Interview complete or offer negotiation</x:v>
      </x:c>
      <x:c r="D10" s="19" t="str">
        <x:v>Evidence packet
Candidate and client feedback
Approved criteria</x:v>
      </x:c>
      <x:c r="E10" s="19" t="str">
        <x:v>Recorded human decision
Accepted terms or documented disposition</x:v>
      </x:c>
      <x:c r="F10" s="19" t="str">
        <x:v>Human recruiting authority
Client and candidate agreement</x:v>
      </x:c>
      <x:c r="G10" s="19" t="str">
        <x:v>Documented-decision completeness
Complaint resolution time</x:v>
      </x:c>
      <x:c r="H10" s="24" t="str">
        <x:v>13443814
13949270</x:v>
      </x:c>
    </x:row>
    <x:row r="11" ht="43.5" customHeight="1">
      <x:c r="A11" s="20" t="str">
        <x:v>T006</x:v>
      </x:c>
      <x:c r="B11" s="20" t="str">
        <x:v>Maintain worker contact, support payroll and resolve issues.</x:v>
      </x:c>
      <x:c r="C11" s="20" t="str">
        <x:v>Worker question or routine assignment milestone</x:v>
      </x:c>
      <x:c r="D11" s="20" t="str">
        <x:v>Assignment record
Approved payroll status
Issue history</x:v>
      </x:c>
      <x:c r="E11" s="20" t="str">
        <x:v>Status reply
Service ticket
Escalation summary</x:v>
      </x:c>
      <x:c r="F11" s="20" t="str">
        <x:v>Service queue
Payroll interface
Account owner</x:v>
      </x:c>
      <x:c r="G11" s="20" t="str">
        <x:v>First-response time
Unresolved-case age</x:v>
      </x:c>
      <x:c r="H11" s="25" t="str">
        <x:v>13443814</x:v>
      </x:c>
    </x:row>
    <x:row r="12" ht="43.5" customHeight="1">
      <x:c r="A12" s="19" t="str">
        <x:v>T007</x:v>
      </x:c>
      <x:c r="B12" s="19" t="str">
        <x:v>Maintain reports and complete prescribed recruiter learning.</x:v>
      </x:c>
      <x:c r="C12" s="19" t="str">
        <x:v>Daily close or training due date</x:v>
      </x:c>
      <x:c r="D12" s="19" t="str">
        <x:v>Activity records
Training assignments
Completion data</x:v>
      </x:c>
      <x:c r="E12" s="19" t="str">
        <x:v>Workload dashboard
Training reminders
Completion register</x:v>
      </x:c>
      <x:c r="F12" s="19" t="str">
        <x:v>Reliable source timestamps
Learning content owner</x:v>
      </x:c>
      <x:c r="G12" s="19" t="str">
        <x:v>Reporting freshness
Overdue training count</x:v>
      </x:c>
      <x:c r="H12" s="24" t="str">
        <x:v>13949270
16859748</x:v>
      </x:c>
    </x:row>
    <x:row r="13" ht="43.5" customHeight="1">
      <x:c r="A13" s="20" t="str">
        <x:v>T008</x:v>
      </x:c>
      <x:c r="B13" s="20" t="str">
        <x:v>Learn policies and develop educational resources with clinical leadership.</x:v>
      </x:c>
      <x:c r="C13" s="20" t="str">
        <x:v>Facility onboarding or policy revision</x:v>
      </x:c>
      <x:c r="D13" s="20" t="str">
        <x:v>Approved facility policies
Clinical education material
Version history</x:v>
      </x:c>
      <x:c r="E13" s="20" t="str">
        <x:v>Draft lesson
Policy-change summary
Versioned knowledge base</x:v>
      </x:c>
      <x:c r="F13" s="20" t="str">
        <x:v>Facility permission
Clinical content approval</x:v>
      </x:c>
      <x:c r="G13" s="20" t="str">
        <x:v>Review completion
Outdated-material rate</x:v>
      </x:c>
      <x:c r="H13" s="25" t="str">
        <x:v>12754069</x:v>
      </x:c>
    </x:row>
    <x:row r="14" ht="43.5" customHeight="1">
      <x:c r="A14" s="19" t="str">
        <x:v>T009</x:v>
      </x:c>
      <x:c r="B14" s="19" t="str">
        <x:v>Conduct pre-submission clinical interviews and review skill gaps.</x:v>
      </x:c>
      <x:c r="C14" s="19" t="str">
        <x:v>Candidate reaches clinical review</x:v>
      </x:c>
      <x:c r="D14" s="19" t="str">
        <x:v>Verified credentials
Structured interview evidence
Facility competencies</x:v>
      </x:c>
      <x:c r="E14" s="19" t="str">
        <x:v>Clinical reviewer findings
Readiness/remediation recommendation</x:v>
      </x:c>
      <x:c r="F14" s="19" t="str">
        <x:v>Licensed clinical reviewer
Facility requirements</x:v>
      </x:c>
      <x:c r="G14" s="19" t="str">
        <x:v>Assessment completeness
Review turnaround</x:v>
      </x:c>
      <x:c r="H14" s="24" t="str">
        <x:v>12754069</x:v>
      </x:c>
    </x:row>
    <x:row r="15" ht="43.5" customHeight="1">
      <x:c r="A15" s="20" t="str">
        <x:v>T010</x:v>
      </x:c>
      <x:c r="B15" s="20" t="str">
        <x:v>Support orientation and document re-education/progress with account management.</x:v>
      </x:c>
      <x:c r="C15" s="20" t="str">
        <x:v>Orientation or education event completed</x:v>
      </x:c>
      <x:c r="D15" s="20" t="str">
        <x:v>Approved attendance record
Education plan
Facility tracker schema</x:v>
      </x:c>
      <x:c r="E15" s="20" t="str">
        <x:v>Updated tracker
Follow-up reminders
Missing-record list</x:v>
      </x:c>
      <x:c r="F15" s="20" t="str">
        <x:v>Clinical sign-off
Account management records</x:v>
      </x:c>
      <x:c r="G15" s="20" t="str">
        <x:v>Tracker completeness
Follow-up timeliness</x:v>
      </x:c>
      <x:c r="H15" s="25" t="str">
        <x:v>12754069</x:v>
      </x:c>
    </x:row>
    <x:row r="16" ht="43.5" customHeight="1">
      <x:c r="A16" s="19" t="str">
        <x:v>T011</x:v>
      </x:c>
      <x:c r="B16" s="19" t="str">
        <x:v>Provide continuing support and resolve concerns with facility leadership.</x:v>
      </x:c>
      <x:c r="C16" s="19" t="str">
        <x:v>Clinical question, skill gap or mistreatment concern</x:v>
      </x:c>
      <x:c r="D16" s="19" t="str">
        <x:v>Clinician account
Facility policies
Clinical record if authorized</x:v>
      </x:c>
      <x:c r="E16" s="19" t="str">
        <x:v>Human coaching plan
Escalation record
Follow-up actions</x:v>
      </x:c>
      <x:c r="F16" s="19" t="str">
        <x:v>Clinical leadership
Facility leadership
HR when appropriate</x:v>
      </x:c>
      <x:c r="G16" s="19" t="str">
        <x:v>Time to human response
Closed-loop follow-up</x:v>
      </x:c>
      <x:c r="H16" s="24" t="str">
        <x:v>12754069</x:v>
      </x:c>
    </x:row>
    <x:row r="17" ht="43.5" customHeight="1">
      <x:c r="A17" s="20" t="str">
        <x:v>T012</x:v>
      </x:c>
      <x:c r="B17" s="20" t="str">
        <x:v>Maintain improvement plans and stakeholder communications.</x:v>
      </x:c>
      <x:c r="C17" s="20" t="str">
        <x:v>Approved improvement initiative or status cycle</x:v>
      </x:c>
      <x:c r="D17" s="20" t="str">
        <x:v>Approved objectives
Milestones
Owner updates</x:v>
      </x:c>
      <x:c r="E17" s="20" t="str">
        <x:v>Task reminders
Dependency log
Status dashboard</x:v>
      </x:c>
      <x:c r="F17" s="20" t="str">
        <x:v>Project system
Named accountable owners</x:v>
      </x:c>
      <x:c r="G17" s="20" t="str">
        <x:v>Overdue milestone rate
Update completeness</x:v>
      </x:c>
      <x:c r="H17" s="25" t="str">
        <x:v>13964420</x:v>
      </x:c>
    </x:row>
    <x:row r="18" ht="43.5" customHeight="1">
      <x:c r="A18" s="19" t="str">
        <x:v>T013</x:v>
      </x:c>
      <x:c r="B18" s="19" t="str">
        <x:v>Elicit ideas and prioritize work with leaders.</x:v>
      </x:c>
      <x:c r="C18" s="19" t="str">
        <x:v>Feedback cycle or performance gap</x:v>
      </x:c>
      <x:c r="D18" s="19" t="str">
        <x:v>Stakeholder feedback
Baseline process data
Constraints</x:v>
      </x:c>
      <x:c r="E18" s="19" t="str">
        <x:v>Options
Impact/effort assessment
Draft future process</x:v>
      </x:c>
      <x:c r="F18" s="19" t="str">
        <x:v>Business owner validation
Financial assumptions</x:v>
      </x:c>
      <x:c r="G18" s="19" t="str">
        <x:v>Accepted improvement rate
Verified outcome vs forecast</x:v>
      </x:c>
      <x:c r="H18" s="24" t="str">
        <x:v>13964420</x:v>
      </x:c>
    </x:row>
    <x:row r="19" ht="54.75" customHeight="1">
      <x:c r="A19" s="20" t="str">
        <x:v>T014</x:v>
      </x:c>
      <x:c r="B19" s="20" t="str">
        <x:v>Verify timecards, purchase orders and contract documentation before billing.</x:v>
      </x:c>
      <x:c r="C19" s="20" t="str">
        <x:v>Timecard approved for billing</x:v>
      </x:c>
      <x:c r="D19" s="20" t="str">
        <x:v>Approved timecard
Contract rates
PO balance
Payer requirements</x:v>
      </x:c>
      <x:c r="E19" s="20" t="str">
        <x:v>Validated billing lines
Exception queue</x:v>
      </x:c>
      <x:c r="F19" s="20" t="str">
        <x:v>Authoritative time approval
Versioned rates</x:v>
      </x:c>
      <x:c r="G19" s="20" t="str">
        <x:v>First-pass validation rate
Unsupported-line count</x:v>
      </x:c>
      <x:c r="H19" s="25" t="str">
        <x:v>15448969</x:v>
      </x:c>
    </x:row>
    <x:row r="20" ht="43.5" customHeight="1">
      <x:c r="A20" s="19" t="str">
        <x:v>T015</x:v>
      </x:c>
      <x:c r="B20" s="19" t="str">
        <x:v>Generate, validate and submit invoices through agreed channels.</x:v>
      </x:c>
      <x:c r="C20" s="19" t="str">
        <x:v>Validated billing batch approved under policy</x:v>
      </x:c>
      <x:c r="D20" s="19" t="str">
        <x:v>Validated lines
Client invoice template
Delivery instructions</x:v>
      </x:c>
      <x:c r="E20" s="19" t="str">
        <x:v>Versioned invoice
Delivery receipt
Billing ledger</x:v>
      </x:c>
      <x:c r="F20" s="19" t="str">
        <x:v>Validated revenue
Client channel access
Audit log</x:v>
      </x:c>
      <x:c r="G20" s="19" t="str">
        <x:v>Invoice error rate
Time from approval to billing</x:v>
      </x:c>
      <x:c r="H20" s="24" t="str">
        <x:v>15448969</x:v>
      </x:c>
    </x:row>
    <x:row r="21" ht="54.75" customHeight="1">
      <x:c r="A21" s="20" t="str">
        <x:v>T016</x:v>
      </x:c>
      <x:c r="B21" s="20" t="str">
        <x:v>Correct and resubmit invoices and resolve open credits.</x:v>
      </x:c>
      <x:c r="C21" s="20" t="str">
        <x:v>Rejection, discrepancy or open credit</x:v>
      </x:c>
      <x:c r="D21" s="20" t="str">
        <x:v>Original invoice
Rejection reason
Supporting evidence
Payment history</x:v>
      </x:c>
      <x:c r="E21" s="20" t="str">
        <x:v>Proposed adjustment
Corrected draft
Reason code</x:v>
      </x:c>
      <x:c r="F21" s="20" t="str">
        <x:v>Invoice version control
Approval matrix</x:v>
      </x:c>
      <x:c r="G21" s="20" t="str">
        <x:v>Correction cycle time
Repeat error rate</x:v>
      </x:c>
      <x:c r="H21" s="25" t="str">
        <x:v>15448969</x:v>
      </x:c>
    </x:row>
    <x:row r="22" ht="54.75" customHeight="1">
      <x:c r="A22" s="19" t="str">
        <x:v>T017</x:v>
      </x:c>
      <x:c r="B22" s="19" t="str">
        <x:v>Pursue overdue invoices, code deposits and inform lead of problem accounts.</x:v>
      </x:c>
      <x:c r="C22" s="19" t="str">
        <x:v>Net terms passed or deposit received</x:v>
      </x:c>
      <x:c r="D22" s="19" t="str">
        <x:v>Aging report
Approved reminder policy
Remittance advice
Open invoices</x:v>
      </x:c>
      <x:c r="E22" s="19" t="str">
        <x:v>Reminder draft/send under policy
Exact cash match proposal
Escalated unmatched items</x:v>
      </x:c>
      <x:c r="F22" s="19" t="str">
        <x:v>Bank/payment records
Collections policy</x:v>
      </x:c>
      <x:c r="G22" s="19" t="str">
        <x:v>Days past due by cohort
Unapplied cash age</x:v>
      </x:c>
      <x:c r="H22" s="24" t="str">
        <x:v>15448969</x:v>
      </x:c>
    </x:row>
    <x:row r="23" ht="43.5" customHeight="1">
      <x:c r="A23" s="20" t="str">
        <x:v>T018</x:v>
      </x:c>
      <x:c r="B23" s="20" t="str">
        <x:v>Call new clients to confirm billing requirements.</x:v>
      </x:c>
      <x:c r="C23" s="20" t="str">
        <x:v>New account won</x:v>
      </x:c>
      <x:c r="D23" s="20" t="str">
        <x:v>Contract
Client contact
Billing questionnaire</x:v>
      </x:c>
      <x:c r="E23" s="20" t="str">
        <x:v>Confirmed billing profile
Missing-setting queue</x:v>
      </x:c>
      <x:c r="F23" s="20" t="str">
        <x:v>Contract authority
Verified client response</x:v>
      </x:c>
      <x:c r="G23" s="20" t="str">
        <x:v>Setup completeness
First-invoice rejection rate</x:v>
      </x:c>
      <x:c r="H23" s="25" t="str">
        <x:v>15448969</x:v>
      </x:c>
    </x:row>
    <x:row r="24" ht="43.5" customHeight="1">
      <x:c r="A24" s="19" t="str">
        <x:v>T019</x:v>
      </x:c>
      <x:c r="B24" s="19" t="str">
        <x:v>Track claims, legal deadlines and TPA resolution plans.</x:v>
      </x:c>
      <x:c r="C24" s="19" t="str">
        <x:v>Claim opened or new claim correspondence</x:v>
      </x:c>
      <x:c r="D24" s="19" t="str">
        <x:v>Claim correspondence
Verified jurisdiction/deadlines
TPA updates</x:v>
      </x:c>
      <x:c r="E24" s="19" t="str">
        <x:v>Chronology
Verified deadline reminders
Status pack</x:v>
      </x:c>
      <x:c r="F24" s="19" t="str">
        <x:v>Claims system access
Human-validated deadline rules</x:v>
      </x:c>
      <x:c r="G24" s="19" t="str">
        <x:v>Missed verified deadline count
Update latency</x:v>
      </x:c>
      <x:c r="H24" s="24" t="str">
        <x:v>16123425</x:v>
      </x:c>
    </x:row>
    <x:row r="25" ht="54.75" customHeight="1">
      <x:c r="A25" s="20" t="str">
        <x:v>T020</x:v>
      </x:c>
      <x:c r="B25" s="20" t="str">
        <x:v>Analyze claim finances and authorize or revise reserves.</x:v>
      </x:c>
      <x:c r="C25" s="20" t="str">
        <x:v>Reserve request or review milestone</x:v>
      </x:c>
      <x:c r="D25" s="20" t="str">
        <x:v>TPA request
Loss history
Costs
Existing reserve</x:v>
      </x:c>
      <x:c r="E25" s="20" t="str">
        <x:v>Scenario analysis
Recommendation packet</x:v>
      </x:c>
      <x:c r="F25" s="20" t="str">
        <x:v>Reliable claims data
Reserve authority</x:v>
      </x:c>
      <x:c r="G25" s="20" t="str">
        <x:v>Reserve review completeness
Forecast variance</x:v>
      </x:c>
      <x:c r="H25" s="25" t="str">
        <x:v>16123425</x:v>
      </x:c>
    </x:row>
    <x:row r="26" ht="54.75" customHeight="1">
      <x:c r="A26" s="19" t="str">
        <x:v>T021</x:v>
      </x:c>
      <x:c r="B26" s="19" t="str">
        <x:v>Represent company in mediation and coordinate absence/transitional duty.</x:v>
      </x:c>
      <x:c r="C26" s="19" t="str">
        <x:v>Settlement negotiation, dispute or return-to-work issue</x:v>
      </x:c>
      <x:c r="D26" s="19" t="str">
        <x:v>Medical/work restrictions
Legal advice
Benefits information
Claim evidence</x:v>
      </x:c>
      <x:c r="E26" s="19" t="str">
        <x:v>Human action plan
Approved communications
Documented resolution</x:v>
      </x:c>
      <x:c r="F26" s="19" t="str">
        <x:v>Claims/legal authority
Benefits and qualified medical input</x:v>
      </x:c>
      <x:c r="G26" s="19" t="str">
        <x:v>Resolution cycle time
Employee support response time</x:v>
      </x:c>
      <x:c r="H26" s="24" t="str">
        <x:v>16123425</x:v>
      </x:c>
    </x:row>
    <x:row r="27" ht="54.75" customHeight="1">
      <x:c r="A27" s="20" t="str">
        <x:v>T022</x:v>
      </x:c>
      <x:c r="B27" s="20" t="str">
        <x:v>Develop messages and channel/timing strategy.</x:v>
      </x:c>
      <x:c r="C27" s="20" t="str">
        <x:v>Approved communication request</x:v>
      </x:c>
      <x:c r="D27" s="20" t="str">
        <x:v>Approved facts
Audience
Brand template
Content brief</x:v>
      </x:c>
      <x:c r="E27" s="20" t="str">
        <x:v>Draft copy
Audience/channel plan</x:v>
      </x:c>
      <x:c r="F27" s="20" t="str">
        <x:v>Business factual owner
Communications approval</x:v>
      </x:c>
      <x:c r="G27" s="20" t="str">
        <x:v>Review turnaround
Correction rate</x:v>
      </x:c>
      <x:c r="H27" s="25" t="str">
        <x:v>16333575</x:v>
      </x:c>
    </x:row>
    <x:row r="28" ht="43.5" customHeight="1">
      <x:c r="A28" s="19" t="str">
        <x:v>T023</x:v>
      </x:c>
      <x:c r="B28" s="19" t="str">
        <x:v>Publish content and review/archive/expire outdated intranet content.</x:v>
      </x:c>
      <x:c r="C28" s="19" t="str">
        <x:v>Approved asset or approved expiry date</x:v>
      </x:c>
      <x:c r="D28" s="19" t="str">
        <x:v>Approved content
Audience permissions
Expiry policy</x:v>
      </x:c>
      <x:c r="E28" s="19" t="str">
        <x:v>Published version
Archive record
Broken-link alert</x:v>
      </x:c>
      <x:c r="F28" s="19" t="str">
        <x:v>MergePoint permissions
Content approval</x:v>
      </x:c>
      <x:c r="G28" s="19" t="str">
        <x:v>Expired-content backlog
Publishing accuracy</x:v>
      </x:c>
      <x:c r="H28" s="24" t="str">
        <x:v>16333575</x:v>
      </x:c>
    </x:row>
    <x:row r="29" ht="43.5" customHeight="1">
      <x:c r="A29" s="20" t="str">
        <x:v>T024</x:v>
      </x:c>
      <x:c r="B29" s="20" t="str">
        <x:v>Use search, analytics and user feedback to improve intranet.</x:v>
      </x:c>
      <x:c r="C29" s="20" t="str">
        <x:v>Periodic content review</x:v>
      </x:c>
      <x:c r="D29" s="20" t="str">
        <x:v>Search analytics
User feedback
Content inventory</x:v>
      </x:c>
      <x:c r="E29" s="20" t="str">
        <x:v>Findability report
Suggested navigation/content changes</x:v>
      </x:c>
      <x:c r="F29" s="20" t="str">
        <x:v>Analytics access
Department liaisons</x:v>
      </x:c>
      <x:c r="G29" s="20" t="str">
        <x:v>Search success proxy
Stale-content share</x:v>
      </x:c>
      <x:c r="H29" s="25" t="str">
        <x:v>16333575</x:v>
      </x:c>
    </x:row>
    <x:row r="30" ht="54.75" customHeight="1">
      <x:c r="A30" s="19" t="str">
        <x:v>T025</x:v>
      </x:c>
      <x:c r="B30" s="19" t="str">
        <x:v>Manage AR/AP, cash application and supplier-payment KPIs.</x:v>
      </x:c>
      <x:c r="C30" s="19" t="str">
        <x:v>Daily or weekly revenue review</x:v>
      </x:c>
      <x:c r="D30" s="19" t="str">
        <x:v>Receivables
Payables
Cash matches
Approved supplier invoices</x:v>
      </x:c>
      <x:c r="E30" s="19" t="str">
        <x:v>Aging/KPI dashboard
Exceptions prioritized by approved rules</x:v>
      </x:c>
      <x:c r="F30" s="19" t="str">
        <x:v>Accurate AR/AP ledger
KPI definitions</x:v>
      </x:c>
      <x:c r="G30" s="19" t="str">
        <x:v>Over-90-day AR
Unmatched cash
Supplier invoice aging</x:v>
      </x:c>
      <x:c r="H30" s="24" t="str">
        <x:v>16409763</x:v>
      </x:c>
    </x:row>
    <x:row r="31" ht="43.5" customHeight="1">
      <x:c r="A31" s="20" t="str">
        <x:v>T026</x:v>
      </x:c>
      <x:c r="B31" s="20" t="str">
        <x:v>Assist timecard, invoice and AR setup at go-live.</x:v>
      </x:c>
      <x:c r="C31" s="20" t="str">
        <x:v>New MSP client implementation</x:v>
      </x:c>
      <x:c r="D31" s="20" t="str">
        <x:v>Signed terms
VMS timecard workflow
Billing instructions</x:v>
      </x:c>
      <x:c r="E31" s="20" t="str">
        <x:v>Draft revenue setup
Test scenarios
Reconciliation checklist</x:v>
      </x:c>
      <x:c r="F31" s="20" t="str">
        <x:v>Implementation manager
Revenue cycle teams</x:v>
      </x:c>
      <x:c r="G31" s="20" t="str">
        <x:v>First-cycle reconciliation success
Setup defect count</x:v>
      </x:c>
      <x:c r="H31" s="25" t="str">
        <x:v>16409763</x:v>
      </x:c>
    </x:row>
    <x:row r="32" ht="54.75" customHeight="1">
      <x:c r="A32" s="19" t="str">
        <x:v>T027</x:v>
      </x:c>
      <x:c r="B32" s="19" t="str">
        <x:v>Handle aged accounts, payer issues and risks to agency payments.</x:v>
      </x:c>
      <x:c r="C32" s="19" t="str">
        <x:v>Over-90-day account, payer dispute or cash-flow risk</x:v>
      </x:c>
      <x:c r="D32" s="19" t="str">
        <x:v>Dispute history
Client exposure
Supplier obligations
Contract terms</x:v>
      </x:c>
      <x:c r="E32" s="19" t="str">
        <x:v>Human collection/payment plan
Approved partner communication</x:v>
      </x:c>
      <x:c r="F32" s="19" t="str">
        <x:v>Finance authority
Legal/contracts where needed</x:v>
      </x:c>
      <x:c r="G32" s="19" t="str">
        <x:v>Escalated balance recovery
Supplier payment accuracy</x:v>
      </x:c>
      <x:c r="H32" s="24" t="str">
        <x:v>16409763</x:v>
      </x:c>
    </x:row>
    <x:row r="33" ht="43.5" customHeight="1">
      <x:c r="A33" s="20" t="str">
        <x:v>T028</x:v>
      </x:c>
      <x:c r="B33" s="20" t="str">
        <x:v>Prepare weekly/monthly reports and KPI analysis.</x:v>
      </x:c>
      <x:c r="C33" s="20" t="str">
        <x:v>Reporting cutoff</x:v>
      </x:c>
      <x:c r="D33" s="20" t="str">
        <x:v>Approved ledger exports
Branch hierarchy
Metric definitions</x:v>
      </x:c>
      <x:c r="E33" s="20" t="str">
        <x:v>Reconciled report
Variance flags
Data-quality log</x:v>
      </x:c>
      <x:c r="F33" s="20" t="str">
        <x:v>Ledger close controls
Consistent definitions</x:v>
      </x:c>
      <x:c r="G33" s="20" t="str">
        <x:v>Report reconciliation variance
Delivery timeliness</x:v>
      </x:c>
      <x:c r="H33" s="25" t="str">
        <x:v>16466209</x:v>
      </x:c>
    </x:row>
    <x:row r="34" ht="43.5" customHeight="1">
      <x:c r="A34" s="19" t="str">
        <x:v>T029</x:v>
      </x:c>
      <x:c r="B34" s="19" t="str">
        <x:v>Prepare annual projections and improvement analysis.</x:v>
      </x:c>
      <x:c r="C34" s="19" t="str">
        <x:v>Budget cycle or margin/collection issue</x:v>
      </x:c>
      <x:c r="D34" s="19" t="str">
        <x:v>Historical performance
Business assumptions
Billing and costs</x:v>
      </x:c>
      <x:c r="E34" s="19" t="str">
        <x:v>Scenario forecast
Improvement options
Assumption register</x:v>
      </x:c>
      <x:c r="F34" s="19" t="str">
        <x:v>Business-owner assumptions
Finance review</x:v>
      </x:c>
      <x:c r="G34" s="19" t="str">
        <x:v>Forecast error
Realized improvement against baseline</x:v>
      </x:c>
      <x:c r="H34" s="24" t="str">
        <x:v>16466209</x:v>
      </x:c>
    </x:row>
    <x:row r="35" ht="54.75" customHeight="1">
      <x:c r="A35" s="20" t="str">
        <x:v>T030</x:v>
      </x:c>
      <x:c r="B35" s="20" t="str">
        <x:v>Create geographic business plans and tailored client proposals.</x:v>
      </x:c>
      <x:c r="C35" s="20" t="str">
        <x:v>Approved territory or account target</x:v>
      </x:c>
      <x:c r="D35" s="20" t="str">
        <x:v>Public organization facts
Service capability
Client needs
Rate guardrails</x:v>
      </x:c>
      <x:c r="E35" s="20" t="str">
        <x:v>Account brief
Draft pursuit plan
Draft proposal</x:v>
      </x:c>
      <x:c r="F35" s="20" t="str">
        <x:v>Capability owner
Approved service/pricing library</x:v>
      </x:c>
      <x:c r="G35" s="20" t="str">
        <x:v>Qualified-pipeline conversion
Proposal turnaround</x:v>
      </x:c>
      <x:c r="H35" s="25" t="str">
        <x:v>16594915</x:v>
      </x:c>
    </x:row>
    <x:row r="36" ht="43.5" customHeight="1">
      <x:c r="A36" s="19" t="str">
        <x:v>T031</x:v>
      </x:c>
      <x:c r="B36" s="19" t="str">
        <x:v>Engage customers and resolve conflicts.</x:v>
      </x:c>
      <x:c r="C36" s="19" t="str">
        <x:v>Client meeting, expansion opportunity or dispute</x:v>
      </x:c>
      <x:c r="D36" s="19" t="str">
        <x:v>Customer history
Service metrics
Offer parameters</x:v>
      </x:c>
      <x:c r="E36" s="19" t="str">
        <x:v>Human-negotiated commitments
Account action plan</x:v>
      </x:c>
      <x:c r="F36" s="19" t="str">
        <x:v>Client representative
Operations/clinical input</x:v>
      </x:c>
      <x:c r="G36" s="19" t="str">
        <x:v>Retention
Account satisfaction
Approved contribution margin</x:v>
      </x:c>
      <x:c r="H36" s="24" t="str">
        <x:v>16594915</x:v>
      </x:c>
    </x:row>
    <x:row r="37" ht="54.75" customHeight="1">
      <x:c r="A37" s="20" t="str">
        <x:v>T032</x:v>
      </x:c>
      <x:c r="B37" s="20" t="str">
        <x:v>Interview/hire/develop recruiters and run daily recruiting meetings.</x:v>
      </x:c>
      <x:c r="C37" s="20" t="str">
        <x:v>Hiring need, coaching cycle or performance concern</x:v>
      </x:c>
      <x:c r="D37" s="20" t="str">
        <x:v>Role criteria
Evidence
Team workload
Development goals</x:v>
      </x:c>
      <x:c r="E37" s="20" t="str">
        <x:v>Human staffing/development decision
Coaching plan</x:v>
      </x:c>
      <x:c r="F37" s="20" t="str">
        <x:v>HR process
Director of business operations</x:v>
      </x:c>
      <x:c r="G37" s="20" t="str">
        <x:v>Documented coaching completion
Team service outcomes</x:v>
      </x:c>
      <x:c r="H37" s="25" t="str">
        <x:v>16594915</x:v>
      </x:c>
    </x:row>
    <x:row r="38" ht="43.5" customHeight="1">
      <x:c r="A38" s="19" t="str">
        <x:v>T033</x:v>
      </x:c>
      <x:c r="B38" s="19" t="str">
        <x:v>Maintain required reports and daily recruiting meetings.</x:v>
      </x:c>
      <x:c r="C38" s="19" t="str">
        <x:v>Daily meeting or reporting cutoff</x:v>
      </x:c>
      <x:c r="D38" s="19" t="str">
        <x:v>Approved activity records
Pipeline status
Agenda</x:v>
      </x:c>
      <x:c r="E38" s="19" t="str">
        <x:v>Meeting pack
Action/reminder log
KPI report</x:v>
      </x:c>
      <x:c r="F38" s="19" t="str">
        <x:v>Activity system
Meeting owner</x:v>
      </x:c>
      <x:c r="G38" s="19" t="str">
        <x:v>Action completion
Report freshness</x:v>
      </x:c>
      <x:c r="H38" s="24" t="str">
        <x:v>16594915</x:v>
      </x:c>
    </x:row>
    <x:row r="39" ht="54.75" customHeight="1">
      <x:c r="A39" s="20" t="str">
        <x:v>T034</x:v>
      </x:c>
      <x:c r="B39" s="20" t="str">
        <x:v>Document KPI/SLA adherence and support program management.</x:v>
      </x:c>
      <x:c r="C39" s="20" t="str">
        <x:v>SLA event or periodic review</x:v>
      </x:c>
      <x:c r="D39" s="20" t="str">
        <x:v>Contract KPI definitions
Order status
Billing status
Service tickets</x:v>
      </x:c>
      <x:c r="E39" s="20" t="str">
        <x:v>Program dashboard
Breach alert
Evidence pack</x:v>
      </x:c>
      <x:c r="F39" s="20" t="str">
        <x:v>Program data
Contract version</x:v>
      </x:c>
      <x:c r="G39" s="20" t="str">
        <x:v>SLA breaches
Order aging
Billing timeliness</x:v>
      </x:c>
      <x:c r="H39" s="25" t="str">
        <x:v>16790213</x:v>
      </x:c>
    </x:row>
    <x:row r="40" ht="43.5" customHeight="1">
      <x:c r="A40" s="19" t="str">
        <x:v>T035</x:v>
      </x:c>
      <x:c r="B40" s="19" t="str">
        <x:v>Maintain satisfaction and accurate client/supplier billing.</x:v>
      </x:c>
      <x:c r="C40" s="19" t="str">
        <x:v>Customer issue or supplier discrepancy</x:v>
      </x:c>
      <x:c r="D40" s="19" t="str">
        <x:v>Service history
Order/timecard evidence
Contract terms</x:v>
      </x:c>
      <x:c r="E40" s="19" t="str">
        <x:v>Resolution options
Coordinated case
Draft client update</x:v>
      </x:c>
      <x:c r="F40" s="19" t="str">
        <x:v>Program manager
Revenue cycle
Supplier contact</x:v>
      </x:c>
      <x:c r="G40" s="19" t="str">
        <x:v>Case resolution time
Repeat incidents</x:v>
      </x:c>
      <x:c r="H40" s="24" t="str">
        <x:v>16790213</x:v>
      </x:c>
    </x:row>
    <x:row r="41" ht="54.75" customHeight="1">
      <x:c r="A41" s="20" t="str">
        <x:v>T036</x:v>
      </x:c>
      <x:c r="B41" s="20" t="str">
        <x:v>Screen opportunities by market, requirements and financials.</x:v>
      </x:c>
      <x:c r="C41" s="20" t="str">
        <x:v>Potential workforce-solution deal</x:v>
      </x:c>
      <x:c r="D41" s="20" t="str">
        <x:v>Customer requirements
Service capability
Cost assumptions
Market data</x:v>
      </x:c>
      <x:c r="E41" s="20" t="str">
        <x:v>Deal brief
Financial scenarios
Risk/issues register</x:v>
      </x:c>
      <x:c r="F41" s="20" t="str">
        <x:v>Finance
Delivery operations
Sales leadership</x:v>
      </x:c>
      <x:c r="G41" s="20" t="str">
        <x:v>Pursuit-to-win rate
Assumption validation</x:v>
      </x:c>
      <x:c r="H41" s="25" t="str">
        <x:v>16795654</x:v>
      </x:c>
    </x:row>
    <x:row r="42" ht="54.75" customHeight="1">
      <x:c r="A42" s="19" t="str">
        <x:v>T037</x:v>
      </x:c>
      <x:c r="B42" s="19" t="str">
        <x:v>Negotiate contracts and integrate requirements into operations.</x:v>
      </x:c>
      <x:c r="C42" s="19" t="str">
        <x:v>Proposal accepted for negotiation</x:v>
      </x:c>
      <x:c r="D42" s="19" t="str">
        <x:v>Draft terms
Approved economics
Service design
Implementation capacity</x:v>
      </x:c>
      <x:c r="E42" s="19" t="str">
        <x:v>Executed agreement by humans
Approved handoff checklist</x:v>
      </x:c>
      <x:c r="F42" s="19" t="str">
        <x:v>Contracts/legal
Finance
Client signatory
Delivery lead</x:v>
      </x:c>
      <x:c r="G42" s="19" t="str">
        <x:v>Contract-to-go-live readiness
Unresolved obligation count</x:v>
      </x:c>
      <x:c r="H42" s="24" t="str">
        <x:v>16795654</x:v>
      </x:c>
    </x:row>
    <x:row r="43" ht="54.75" customHeight="1">
      <x:c r="A43" s="20" t="str">
        <x:v>T038</x:v>
      </x:c>
      <x:c r="B43" s="20" t="str">
        <x:v>Provide tier-3 support, documentation and technical evaluations.</x:v>
      </x:c>
      <x:c r="C43" s="20" t="str">
        <x:v>Alert, escalated incident or planned design</x:v>
      </x:c>
      <x:c r="D43" s="20" t="str">
        <x:v>Approved telemetry
Asset inventory
Runbooks
Project requirements</x:v>
      </x:c>
      <x:c r="E43" s="20" t="str">
        <x:v>Diagnostic summary
Suggested runbook
Design draft</x:v>
      </x:c>
      <x:c r="F43" s="20" t="str">
        <x:v>Network telemetry
Change process
Secrets isolation</x:v>
      </x:c>
      <x:c r="G43" s="20" t="str">
        <x:v>Mean time to diagnosis
Evidence completeness</x:v>
      </x:c>
      <x:c r="H43" s="25" t="str">
        <x:v>16803893</x:v>
      </x:c>
    </x:row>
    <x:row r="44" ht="43.5" customHeight="1">
      <x:c r="A44" s="19" t="str">
        <x:v>T039</x:v>
      </x:c>
      <x:c r="B44" s="19" t="str">
        <x:v>Implement network solutions and remediate major incidents.</x:v>
      </x:c>
      <x:c r="C44" s="19" t="str">
        <x:v>Approved change or major outage</x:v>
      </x:c>
      <x:c r="D44" s="19" t="str">
        <x:v>Reviewed plan
Test/rollback evidence
Dependencies</x:v>
      </x:c>
      <x:c r="E44" s="19" t="str">
        <x:v>Human-approved deployment
Incident decisions
Post-incident review</x:v>
      </x:c>
      <x:c r="F44" s="19" t="str">
        <x:v>Change authority
Network operations
Security</x:v>
      </x:c>
      <x:c r="G44" s="19" t="str">
        <x:v>Change failure rate
Recovery time</x:v>
      </x:c>
      <x:c r="H44" s="24" t="str">
        <x:v>16803893</x:v>
      </x:c>
    </x:row>
    <x:row r="45" ht="54.75" customHeight="1">
      <x:c r="A45" s="20" t="str">
        <x:v>T040</x:v>
      </x:c>
      <x:c r="B45" s="20" t="str">
        <x:v>Collect and enter customer/supplier data in VMS.</x:v>
      </x:c>
      <x:c r="C45" s="20" t="str">
        <x:v>Signed implementation scope ready</x:v>
      </x:c>
      <x:c r="D45" s="20" t="str">
        <x:v>Approved client/supplier master data
VMS schema
Mapping rules</x:v>
      </x:c>
      <x:c r="E45" s="20" t="str">
        <x:v>Validated import
Duplicate/missing-field report
Audit log</x:v>
      </x:c>
      <x:c r="F45" s="20" t="str">
        <x:v>Client data approval
VMS access
Import validation</x:v>
      </x:c>
      <x:c r="G45" s="20" t="str">
        <x:v>Import error rate
Data completeness</x:v>
      </x:c>
      <x:c r="H45" s="25" t="str">
        <x:v>16986252</x:v>
      </x:c>
    </x:row>
    <x:row r="46" ht="43.5" customHeight="1">
      <x:c r="A46" s="19" t="str">
        <x:v>T041</x:v>
      </x:c>
      <x:c r="B46" s="19" t="str">
        <x:v>Maintain rollout schedule and critical implementation checklist.</x:v>
      </x:c>
      <x:c r="C46" s="19" t="str">
        <x:v>Milestone due or status review</x:v>
      </x:c>
      <x:c r="D46" s="19" t="str">
        <x:v>Approved implementation plan
Evidence of completed steps
Owners</x:v>
      </x:c>
      <x:c r="E46" s="19" t="str">
        <x:v>Readiness dashboard
Reminder
Unmet-prerequisite queue</x:v>
      </x:c>
      <x:c r="F46" s="19" t="str">
        <x:v>Evidence owners
Project baseline</x:v>
      </x:c>
      <x:c r="G46" s="19" t="str">
        <x:v>On-time milestone completion
Missing readiness evidence</x:v>
      </x:c>
      <x:c r="H46" s="24" t="str">
        <x:v>16986252</x:v>
      </x:c>
    </x:row>
    <x:row r="47" ht="43.5" customHeight="1">
      <x:c r="A47" s="20" t="str">
        <x:v>T042</x:v>
      </x:c>
      <x:c r="B47" s="20" t="str">
        <x:v>Create job aids and training; communicate VMS improvements.</x:v>
      </x:c>
      <x:c r="C47" s="20" t="str">
        <x:v>New workflow, release or user feedback</x:v>
      </x:c>
      <x:c r="D47" s="20" t="str">
        <x:v>Approved workflow
VMS documentation
Feedback</x:v>
      </x:c>
      <x:c r="E47" s="20" t="str">
        <x:v>Draft training/demo
Enhancement request
Versioned job aid</x:v>
      </x:c>
      <x:c r="F47" s="20" t="str">
        <x:v>Product/workflow owner
Content approval</x:v>
      </x:c>
      <x:c r="G47" s="20" t="str">
        <x:v>Training task success
Support-ticket recurrence</x:v>
      </x:c>
      <x:c r="H47" s="25" t="str">
        <x:v>16986252</x:v>
      </x:c>
    </x:row>
    <x:row r="48" ht="54.75" customHeight="1">
      <x:c r="A48" s="19" t="str">
        <x:v>T043</x:v>
      </x:c>
      <x:c r="B48" s="19" t="str">
        <x:v>Drive implementation and continued adoption with stakeholders.</x:v>
      </x:c>
      <x:c r="C48" s="19" t="str">
        <x:v>All checklist items submitted for acceptance</x:v>
      </x:c>
      <x:c r="D48" s="19" t="str">
        <x:v>Test evidence
Client signoff
Open issues
Operating readiness</x:v>
      </x:c>
      <x:c r="E48" s="19" t="str">
        <x:v>Human go-live decision
Accepted remediation plan</x:v>
      </x:c>
      <x:c r="F48" s="19" t="str">
        <x:v>Customer owner
Finance
Compliance
Program operations</x:v>
      </x:c>
      <x:c r="G48" s="19" t="str">
        <x:v>First-cycle defects
Client adoption milestones</x:v>
      </x:c>
      <x:c r="H48" s="24" t="str">
        <x:v>16986252</x:v>
      </x:c>
    </x:row>
    <x:row r="49" ht="43.5" customHeight="1">
      <x:c r="A49" s="20" t="str">
        <x:v>T044</x:v>
      </x:c>
      <x:c r="B49" s="20" t="str">
        <x:v>Discover and maintain customer/state credential requirements and annual review.</x:v>
      </x:c>
      <x:c r="C49" s="20" t="str">
        <x:v>New customer or annual requirement review</x:v>
      </x:c>
      <x:c r="D49" s="20" t="str">
        <x:v>Signed contract
Client requirement documents
Reviewed policy sources</x:v>
      </x:c>
      <x:c r="E49" s="20" t="str">
        <x:v>Versioned draft requirement matrix
Change summary</x:v>
      </x:c>
      <x:c r="F49" s="20" t="str">
        <x:v>Implementation
Customer
Qualified compliance reviewer</x:v>
      </x:c>
      <x:c r="G49" s="20" t="str">
        <x:v>Rule freshness
Unresolved requirement count</x:v>
      </x:c>
      <x:c r="H49" s="25" t="str">
        <x:v>16989237</x:v>
      </x:c>
    </x:row>
    <x:row r="50" ht="43.5" customHeight="1">
      <x:c r="A50" s="19" t="str">
        <x:v>T045</x:v>
      </x:c>
      <x:c r="B50" s="19" t="str">
        <x:v>Monitor requirements/renewals and audit active contractor credentials.</x:v>
      </x:c>
      <x:c r="C50" s="19" t="str">
        <x:v>Expiry threshold or approved audit schedule</x:v>
      </x:c>
      <x:c r="D50" s="19" t="str">
        <x:v>Approved requirement matrix
Credential metadata
Assignment roster</x:v>
      </x:c>
      <x:c r="E50" s="19" t="str">
        <x:v>Renewal reminders
Missing-evidence flags
Audit evidence pack</x:v>
      </x:c>
      <x:c r="F50" s="19" t="str">
        <x:v>Reliable credential evidence
Supplier access
Audit plan</x:v>
      </x:c>
      <x:c r="G50" s="19" t="str">
        <x:v>Expired credentials on active roster
Renewal lead time</x:v>
      </x:c>
      <x:c r="H50" s="24" t="str">
        <x:v>16989237</x:v>
      </x:c>
    </x:row>
    <x:row r="51" ht="54.75" customHeight="1">
      <x:c r="A51" s="20" t="str">
        <x:v>T046</x:v>
      </x:c>
      <x:c r="B51" s="20" t="str">
        <x:v>Enforce compliance requirements and audit credentialing quality.</x:v>
      </x:c>
      <x:c r="C51" s="20" t="str">
        <x:v>Discrepancy, unusual credential or failed audit</x:v>
      </x:c>
      <x:c r="D51" s="20" t="str">
        <x:v>Source evidence
Client rules
Supplier response
Audit findings</x:v>
      </x:c>
      <x:c r="E51" s="20" t="str">
        <x:v>Human disposition
Corrective action
Work-readiness authorization</x:v>
      </x:c>
      <x:c r="F51" s="20" t="str">
        <x:v>Compliance authority
Client/clinical input as appropriate</x:v>
      </x:c>
      <x:c r="G51" s="20" t="str">
        <x:v>Exception turnaround
Repeat audit findings</x:v>
      </x:c>
      <x:c r="H51" s="25" t="str">
        <x:v>16989237</x:v>
      </x:c>
    </x:row>
    <x:row r="52" ht="43.5" customHeight="1">
      <x:c r="A52" s="19" t="str">
        <x:v>T047</x:v>
      </x:c>
      <x:c r="B52" s="19" t="str">
        <x:v>Review forecasts, budgets, cost controls and expenses.</x:v>
      </x:c>
      <x:c r="C52" s="19" t="str">
        <x:v>Budget cycle, variance or expense exception</x:v>
      </x:c>
      <x:c r="D52" s="19" t="str">
        <x:v>Approved financial data
Budget assumptions
Expense policy</x:v>
      </x:c>
      <x:c r="E52" s="19" t="str">
        <x:v>Variance analysis
Proposed budget/expense action</x:v>
      </x:c>
      <x:c r="F52" s="19" t="str">
        <x:v>Regional controller
Ledger reconciliation</x:v>
      </x:c>
      <x:c r="G52" s="19" t="str">
        <x:v>Forecast error
Expense exception aging</x:v>
      </x:c>
      <x:c r="H52" s="24" t="str">
        <x:v>17018584</x:v>
      </x:c>
    </x:row>
    <x:row r="53" ht="54.75" customHeight="1">
      <x:c r="A53" s="20" t="str">
        <x:v>T048</x:v>
      </x:c>
      <x:c r="B53" s="20" t="str">
        <x:v>Participate in RFP/contract financial and operational work.</x:v>
      </x:c>
      <x:c r="C53" s="20" t="str">
        <x:v>Bid/RFP under development</x:v>
      </x:c>
      <x:c r="D53" s="20" t="str">
        <x:v>Bid terms
Rate model
Capacity assumptions
Cost data</x:v>
      </x:c>
      <x:c r="E53" s="20" t="str">
        <x:v>Financial model
Bid obligation checklist
Approval request</x:v>
      </x:c>
      <x:c r="F53" s="20" t="str">
        <x:v>Sales
Contracts
Legal
Operations</x:v>
      </x:c>
      <x:c r="G53" s="20" t="str">
        <x:v>Bid model completeness
Actual vs estimated contribution</x:v>
      </x:c>
      <x:c r="H53" s="25" t="str">
        <x:v>17018584</x:v>
      </x:c>
    </x:row>
    <x:row r="54" ht="43.5" customHeight="1">
      <x:c r="A54" s="19" t="str">
        <x:v>T049</x:v>
      </x:c>
      <x:c r="B54" s="19" t="str">
        <x:v>Liaise between field and purchasing, payroll, contracts, legal and revenue teams.</x:v>
      </x:c>
      <x:c r="C54" s="19" t="str">
        <x:v>Field financial issue</x:v>
      </x:c>
      <x:c r="D54" s="19" t="str">
        <x:v>Issue category
Supporting records
Owner directory</x:v>
      </x:c>
      <x:c r="E54" s="19" t="str">
        <x:v>Routed case
Evidence bundle
SLA reminder</x:v>
      </x:c>
      <x:c r="F54" s="19" t="str">
        <x:v>Case access controls
Department service definitions</x:v>
      </x:c>
      <x:c r="G54" s="19" t="str">
        <x:v>Routing accuracy
Unassigned case age</x:v>
      </x:c>
      <x:c r="H54" s="24" t="str">
        <x:v>17018584</x:v>
      </x:c>
    </x:row>
    <x:row r="55" ht="88.5" customHeight="1">
      <x:c r="A55" s="20" t="str">
        <x:v>T050</x:v>
      </x:c>
      <x:c r="B55" s="20" t="str">
        <x:v>Oversee payroll/billing and resolve processing errors.</x:v>
      </x:c>
      <x:c r="C55" s="20" t="str">
        <x:v>Payroll or billing review batch</x:v>
      </x:c>
      <x:c r="D55" s="20" t="str">
        <x:v>Recorded worked time, including disputed or pending-approval hours
Separate customer approval state
Pay/bill rates
Assignment rules
Prior adjustments</x:v>
      </x:c>
      <x:c r="E55" s="20" t="str">
        <x:v>Payroll reconciliation including all recorded worked time
Separate billing-approval exceptions
Draft correction request</x:v>
      </x:c>
      <x:c r="F55" s="20" t="str">
        <x:v>Authoritative worked-time records
Payroll/finance authority
Separate client billing approval workflow</x:v>
      </x:c>
      <x:c r="G55" s="20" t="str">
        <x:v>Unresolved payroll discrepancies
First-pass accuracy</x:v>
      </x:c>
      <x:c r="H55" s="25" t="str">
        <x:v>17389206</x:v>
      </x:c>
    </x:row>
    <x:row r="56" ht="54.75" customHeight="1">
      <x:c r="A56" s="19" t="str">
        <x:v>T051</x:v>
      </x:c>
      <x:c r="B56" s="19" t="str">
        <x:v>Manage supplies/facility coordination and operational reports.</x:v>
      </x:c>
      <x:c r="C56" s="19" t="str">
        <x:v>Inventory threshold, routine report or facility request</x:v>
      </x:c>
      <x:c r="D56" s="19" t="str">
        <x:v>Approved supply catalog
Spend limits
Office inventory
Operational data</x:v>
      </x:c>
      <x:c r="E56" s="19" t="str">
        <x:v>Routine requisition
Service request
Report</x:v>
      </x:c>
      <x:c r="F56" s="19" t="str">
        <x:v>Procurement policy
Real estate contact
Report definitions</x:v>
      </x:c>
      <x:c r="G56" s="19" t="str">
        <x:v>Stockout count
Routine request cycle time</x:v>
      </x:c>
      <x:c r="H56" s="24" t="str">
        <x:v>17389206</x:v>
      </x:c>
    </x:row>
    <x:row r="57" ht="43.5" customHeight="1">
      <x:c r="A57" s="20" t="str">
        <x:v>T052</x:v>
      </x:c>
      <x:c r="B57" s="20" t="str">
        <x:v>Manage grievances and enter incident reports.</x:v>
      </x:c>
      <x:c r="C57" s="20" t="str">
        <x:v>Complaint or incident received</x:v>
      </x:c>
      <x:c r="D57" s="20" t="str">
        <x:v>Reporter narrative
Consent/access rules
Known assignment context</x:v>
      </x:c>
      <x:c r="E57" s="20" t="str">
        <x:v>Factual case record
Urgency alert
Human owner assignment</x:v>
      </x:c>
      <x:c r="F57" s="20" t="str">
        <x:v>Confidential case system
Escalation roster</x:v>
      </x:c>
      <x:c r="G57" s="20" t="str">
        <x:v>Time to human review
Unassigned serious incidents</x:v>
      </x:c>
      <x:c r="H57" s="25" t="str">
        <x:v>17389206</x:v>
      </x:c>
    </x:row>
    <x:row r="58" ht="54.75" customHeight="1">
      <x:c r="A58" s="19" t="str">
        <x:v>T053</x:v>
      </x:c>
      <x:c r="B58" s="19" t="str">
        <x:v>Manage grievances, claims response and compliance correction plans.</x:v>
      </x:c>
      <x:c r="C58" s="19" t="str">
        <x:v>Escalated complaint, claim or audit issue</x:v>
      </x:c>
      <x:c r="D58" s="19" t="str">
        <x:v>Evidence
Relevant policy
Worker/client response
Expert input</x:v>
      </x:c>
      <x:c r="E58" s="19" t="str">
        <x:v>Human findings
Remedy/correction plan
Approved communications</x:v>
      </x:c>
      <x:c r="F58" s="19" t="str">
        <x:v>HR
Clinical
Legal/claims as needed</x:v>
      </x:c>
      <x:c r="G58" s="19" t="str">
        <x:v>Resolution quality review
Repeat issue rate</x:v>
      </x:c>
      <x:c r="H58" s="24" t="str">
        <x:v>17389206</x:v>
      </x:c>
    </x:row>
    <x:row r="59" ht="54.75" customHeight="1">
      <x:c r="A59" s="20" t="str">
        <x:v>T054</x:v>
      </x:c>
      <x:c r="B59" s="20" t="str">
        <x:v>Hire/develop support team and maintain compliance across operations.</x:v>
      </x:c>
      <x:c r="C59" s="20" t="str">
        <x:v>Staffing decision or operational control review</x:v>
      </x:c>
      <x:c r="D59" s="20" t="str">
        <x:v>Role criteria
Performance evidence
Control results
Training needs</x:v>
      </x:c>
      <x:c r="E59" s="20" t="str">
        <x:v>Human staff decision
Development plan
Approved control change</x:v>
      </x:c>
      <x:c r="F59" s="20" t="str">
        <x:v>HR
Functional leaders
Compliance owner</x:v>
      </x:c>
      <x:c r="G59" s="20" t="str">
        <x:v>Training completion
Control remediation time</x:v>
      </x:c>
      <x:c r="H59" s="25" t="str">
        <x:v>17389206</x:v>
      </x:c>
    </x:row>
    <x:row r="60" ht="54.75" customHeight="1">
      <x:c r="A60" s="19" t="str">
        <x:v>T055</x:v>
      </x:c>
      <x:c r="B60" s="19" t="str">
        <x:v>Develop topics and write content across channels.</x:v>
      </x:c>
      <x:c r="C60" s="19" t="str">
        <x:v>Approved campaign brief</x:v>
      </x:c>
      <x:c r="D60" s="19" t="str">
        <x:v>Verified source facts
Brand rules
Audience
Campaign objective</x:v>
      </x:c>
      <x:c r="E60" s="19" t="str">
        <x:v>Cited draft
Creative variants
Claim review checklist</x:v>
      </x:c>
      <x:c r="F60" s="19" t="str">
        <x:v>Content owner
Current product/service facts</x:v>
      </x:c>
      <x:c r="G60" s="19" t="str">
        <x:v>Review acceptance rate
Factual correction rate</x:v>
      </x:c>
      <x:c r="H60" s="24" t="str">
        <x:v>17394822</x:v>
      </x:c>
    </x:row>
    <x:row r="61" ht="43.5" customHeight="1">
      <x:c r="A61" s="20" t="str">
        <x:v>T056</x:v>
      </x:c>
      <x:c r="B61" s="20" t="str">
        <x:v>Maintain legal/HR/clinical/SME review cycle.</x:v>
      </x:c>
      <x:c r="C61" s="20" t="str">
        <x:v>Draft ready for review</x:v>
      </x:c>
      <x:c r="D61" s="20" t="str">
        <x:v>Draft version
Claim tags
Reviewer roster</x:v>
      </x:c>
      <x:c r="E61" s="20" t="str">
        <x:v>Assigned review tasks
Recorded approvals
Revision log</x:v>
      </x:c>
      <x:c r="F61" s="20" t="str">
        <x:v>Named reviewers
Version control</x:v>
      </x:c>
      <x:c r="G61" s="20" t="str">
        <x:v>Review cycle time
Approval completeness</x:v>
      </x:c>
      <x:c r="H61" s="25" t="str">
        <x:v>17394822</x:v>
      </x:c>
    </x:row>
    <x:row r="62" ht="54.75" customHeight="1">
      <x:c r="A62" s="19" t="str">
        <x:v>T057</x:v>
      </x:c>
      <x:c r="B62" s="19" t="str">
        <x:v>Publish CMS/DAM assets, maintain calendar and report performance.</x:v>
      </x:c>
      <x:c r="C62" s="19" t="str">
        <x:v>Approved asset or reporting cutoff</x:v>
      </x:c>
      <x:c r="D62" s="19" t="str">
        <x:v>Approved content
Publishing schedule
Asset metadata
Analytics</x:v>
      </x:c>
      <x:c r="E62" s="19" t="str">
        <x:v>Published asset
DAM record
Performance dashboard</x:v>
      </x:c>
      <x:c r="F62" s="19" t="str">
        <x:v>CMS/DAM access
Approval record
Analytics definitions</x:v>
      </x:c>
      <x:c r="G62" s="19" t="str">
        <x:v>Publishing accuracy
Content performance by approved metric</x:v>
      </x:c>
      <x:c r="H62" s="24" t="str">
        <x:v>17394822</x:v>
      </x:c>
    </x:row>
    <x:row r="63" ht="43.5" customHeight="1">
      <x:c r="A63" s="20" t="str">
        <x:v>T058</x:v>
      </x:c>
      <x:c r="B63" s="20" t="str">
        <x:v>Resolve escalated desktop/software calls and coordinate vendors.</x:v>
      </x:c>
      <x:c r="C63" s="20" t="str">
        <x:v>Support ticket or known error</x:v>
      </x:c>
      <x:c r="D63" s="20" t="str">
        <x:v>User-reported symptoms
Approved device metadata
Knowledge articles</x:v>
      </x:c>
      <x:c r="E63" s="20" t="str">
        <x:v>Diagnostic steps
Ticket categorization
Vendor escalation packet</x:v>
      </x:c>
      <x:c r="F63" s="20" t="str">
        <x:v>Authenticated user
Vetted runbooks
Helpdesk system</x:v>
      </x:c>
      <x:c r="G63" s="20" t="str">
        <x:v>First-contact resolution
Escalation accuracy</x:v>
      </x:c>
      <x:c r="H63" s="25" t="str">
        <x:v>17460641</x:v>
      </x:c>
    </x:row>
    <x:row r="64" ht="54.75" customHeight="1">
      <x:c r="A64" s="19" t="str">
        <x:v>T059</x:v>
      </x:c>
      <x:c r="B64" s="19" t="str">
        <x:v>Install/configure systems and assess procurement specifications.</x:v>
      </x:c>
      <x:c r="C64" s="19" t="str">
        <x:v>New device request or software need</x:v>
      </x:c>
      <x:c r="D64" s="19" t="str">
        <x:v>Approved requirements
Security baseline
Vendor options
Budget</x:v>
      </x:c>
      <x:c r="E64" s="19" t="str">
        <x:v>Configuration plan
Purchase recommendation
Test evidence</x:v>
      </x:c>
      <x:c r="F64" s="19" t="str">
        <x:v>Security standards
Procurement
Change process</x:v>
      </x:c>
      <x:c r="G64" s="19" t="str">
        <x:v>Configuration compliance
Deployment failure rate</x:v>
      </x:c>
      <x:c r="H64" s="24" t="str">
        <x:v>17460641</x:v>
      </x:c>
    </x:row>
    <x:row r="65" ht="43.5" customHeight="1">
      <x:c r="A65" s="20" t="str">
        <x:v>T060</x:v>
      </x:c>
      <x:c r="B65" s="20" t="str">
        <x:v>Guide candidates and track pre-assignment requirements.</x:v>
      </x:c>
      <x:c r="C65" s="20" t="str">
        <x:v>Candidate enters onboarding</x:v>
      </x:c>
      <x:c r="D65" s="20" t="str">
        <x:v>Approved assignment requirements
Candidate checklist
Contact preferences</x:v>
      </x:c>
      <x:c r="E65" s="20" t="str">
        <x:v>Personalized checklist
Reminders
Completion progress</x:v>
      </x:c>
      <x:c r="F65" s="20" t="str">
        <x:v>Approved requirement matrix
Secure upload
Candidate consent</x:v>
      </x:c>
      <x:c r="G65" s="20" t="str">
        <x:v>Time to complete file
Reminder success</x:v>
      </x:c>
      <x:c r="H65" s="25" t="str">
        <x:v>17780233</x:v>
      </x:c>
    </x:row>
    <x:row r="66" ht="54.75" customHeight="1">
      <x:c r="A66" s="19" t="str">
        <x:v>T061</x:v>
      </x:c>
      <x:c r="B66" s="19" t="str">
        <x:v>Enter and validate credential data and integrity.</x:v>
      </x:c>
      <x:c r="C66" s="19" t="str">
        <x:v>Credential document received</x:v>
      </x:c>
      <x:c r="D66" s="19" t="str">
        <x:v>Authorized document
Schema
Issuer lookup if permitted
Assignment rules</x:v>
      </x:c>
      <x:c r="E66" s="19" t="str">
        <x:v>Extracted fields
Confidence/provenance
Mismatch queue</x:v>
      </x:c>
      <x:c r="F66" s="19" t="str">
        <x:v>Secure document handling
Approved data schema
Verification source</x:v>
      </x:c>
      <x:c r="G66" s="19" t="str">
        <x:v>Extraction accuracy
Unresolved mismatch count</x:v>
      </x:c>
      <x:c r="H66" s="24" t="str">
        <x:v>17780233</x:v>
      </x:c>
    </x:row>
    <x:row r="67" ht="54.75" customHeight="1">
      <x:c r="A67" s="20" t="str">
        <x:v>T062</x:v>
      </x:c>
      <x:c r="B67" s="20" t="str">
        <x:v>Obtain updated credentials before expiry.</x:v>
      </x:c>
      <x:c r="C67" s="20" t="str">
        <x:v>Approved reminder threshold reached</x:v>
      </x:c>
      <x:c r="D67" s="20" t="str">
        <x:v>Credential expiry
Active assignments
Approved renewal schedule</x:v>
      </x:c>
      <x:c r="E67" s="20" t="str">
        <x:v>Renewal request
Escalation for approaching lapse
Updated evidence record</x:v>
      </x:c>
      <x:c r="F67" s="20" t="str">
        <x:v>Accurate expiry data
Contact permissions
Escalation policy</x:v>
      </x:c>
      <x:c r="G67" s="20" t="str">
        <x:v>On-time renewal rate
Unaddressed expiry alerts</x:v>
      </x:c>
      <x:c r="H67" s="25" t="str">
        <x:v>17780233</x:v>
      </x:c>
    </x:row>
    <x:row r="68" ht="54.75" customHeight="1">
      <x:c r="A68" s="19" t="str">
        <x:v>T063</x:v>
      </x:c>
      <x:c r="B68" s="19" t="str">
        <x:v>Ensure all pre-assignment and contract requirements before activating worker.</x:v>
      </x:c>
      <x:c r="C68" s="19" t="str">
        <x:v>All required evidence submitted</x:v>
      </x:c>
      <x:c r="D68" s="19" t="str">
        <x:v>Credential file
Background/other approved checks
Client requirement matrix
Reviewer findings</x:v>
      </x:c>
      <x:c r="E68" s="19" t="str">
        <x:v>Human clearance or documented hold
Exception reason</x:v>
      </x:c>
      <x:c r="F68" s="19" t="str">
        <x:v>Qualified reviewer
Client/clinical signoff where needed</x:v>
      </x:c>
      <x:c r="G68" s="19" t="str">
        <x:v>Clearance completeness
Improper activation incidents</x:v>
      </x:c>
      <x:c r="H68" s="24" t="str">
        <x:v>17780233</x:v>
      </x:c>
    </x:row>
    <x:row r="69">
      <x:c r="A69" s="2"/>
      <x:c r="B69" s="2"/>
      <x:c r="C69" s="2"/>
      <x:c r="D69" s="2"/>
      <x:c r="E69" s="2"/>
      <x:c r="F69" s="2"/>
      <x:c r="G69" s="2"/>
      <x:c r="H69" s="2"/>
    </x:row>
  </x:sheetData>
  <x:pageMargins left="0.7" right="0.7" top="0.75" bottom="0.75" header="0.3" footer="0.3"/>
  <x:legacyDrawing xmlns:r="http://schemas.openxmlformats.org/officeDocument/2006/relationships" r:id="R12aa7e171e9e4e6a"/>
  <x:tableParts count="1">
    <x:tablePart xmlns:r="http://schemas.openxmlformats.org/officeDocument/2006/relationships" r:id="R0e10a9688dbb4178"/>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7.329999923706055" hidden="0" customWidth="1"/>
    <x:col min="2" max="2" width="25.559999465942383" hidden="0" customWidth="1"/>
    <x:col min="3" max="3" width="9.4399995803833" hidden="0" customWidth="1"/>
    <x:col min="4" max="4" width="45" hidden="0" customWidth="1"/>
    <x:col min="5" max="5" width="25.559999465942383" hidden="0" customWidth="1"/>
    <x:col min="6" max="6" width="35.560001373291016" hidden="0" customWidth="1"/>
    <x:col min="7" max="7" width="40" hidden="0" customWidth="1"/>
    <x:col min="8" max="8" width="12.779999732971191" hidden="0" customWidth="1"/>
  </x:cols>
  <x:sheetData>
    <x:row r="1" ht="12" customHeight="1">
      <x:c r="A1" s="2"/>
      <x:c r="B1" s="2"/>
      <x:c r="C1" s="2"/>
      <x:c r="D1" s="2"/>
      <x:c r="E1" s="2"/>
      <x:c r="F1" s="2"/>
      <x:c r="G1" s="2"/>
      <x:c r="H1" s="2"/>
    </x:row>
    <x:row r="2" ht="22.5" customHeight="1">
      <x:c r="A2" s="3" t="str">
        <x:v>Role families and public responsibilities</x:v>
      </x:c>
      <x:c r="B2" s="2"/>
      <x:c r="C2" s="2"/>
      <x:c r="D2" s="2"/>
      <x:c r="E2" s="2"/>
      <x:c r="F2" s="2"/>
      <x:c r="G2" s="2"/>
      <x:c r="H2" s="2"/>
    </x:row>
    <x:row r="3" ht="20.25" customHeight="1">
      <x:c r="A3" s="5" t="str">
        <x:v>Posting records are not headcount or verified vacancies. Families group advertised duties. Source cells retain full URLs in Excel notes.</x:v>
      </x:c>
      <x:c r="B3" s="6"/>
      <x:c r="C3" s="6"/>
      <x:c r="D3" s="6"/>
      <x:c r="E3" s="6"/>
      <x:c r="F3" s="6"/>
      <x:c r="G3" s="6"/>
      <x:c r="H3" s="6"/>
    </x:row>
    <x:row r="4">
      <x:c r="A4" s="2"/>
      <x:c r="B4" s="2"/>
      <x:c r="C4" s="2"/>
      <x:c r="D4" s="2"/>
      <x:c r="E4" s="2"/>
      <x:c r="F4" s="2"/>
      <x:c r="G4" s="2"/>
      <x:c r="H4" s="2"/>
    </x:row>
    <x:row r="5" ht="27" customHeight="1">
      <x:c r="A5" s="15" t="str">
        <x:v>Role ID</x:v>
      </x:c>
      <x:c r="B5" s="16" t="str">
        <x:v>Role family</x:v>
      </x:c>
      <x:c r="C5" s="16" t="str">
        <x:v>Posting records</x:v>
      </x:c>
      <x:c r="D5" s="16" t="str">
        <x:v>Observed public duties</x:v>
      </x:c>
      <x:c r="E5" s="16" t="str">
        <x:v>Observed handoffs</x:v>
      </x:c>
      <x:c r="F5" s="16" t="str">
        <x:v>System mentions and evidence scope</x:v>
      </x:c>
      <x:c r="G5" s="16" t="str">
        <x:v>Limitations</x:v>
      </x:c>
      <x:c r="H5" s="17" t="str">
        <x:v>Sources</x:v>
      </x:c>
    </x:row>
    <x:row r="6" ht="133.5" customHeight="1">
      <x:c r="A6" s="19" t="str">
        <x:v>R01</x:v>
      </x:c>
      <x:c r="B6" s="19" t="str">
        <x:v>Recruiting and placement</x:v>
      </x:c>
      <x:c r="C6" s="28" t="n">
        <x:v>57</x:v>
      </x:c>
      <x:c r="D6" s="19" t="str">
        <x:v>Source and engage candidates through referrals, databases, networking and recruitment technology
Screen/interview candidates, check credentials and align to hiring criteria in national recruiter descriptions
Negotiate pay packages and obtain candidate/client placement acceptance
Support placed workers with payroll issues and retention
Manage inbound phone coverage, onboarding coordination, reports and daily recruiting workload
Complete recruiter training; trainee descriptions often refer to a typical 13-week program</x:v>
      </x:c>
      <x:c r="E6" s="19" t="str">
        <x:v>Candidates and placed professionals
Clients
Recruiting leaders and team members</x:v>
      </x:c>
      <x:c r="F6" s="19" t="str">
        <x:v>Recruitment databases and multiple recruitment technologies
generic tools named; vendor not disclosed
E-learning training module
national recruitment manager trainee duties</x:v>
      </x:c>
      <x:c r="G6" s="19" t="str">
        <x:v>57 postings contain only three distinct duty-body variants (47 local/education trainee-style; 9 national recruiter-style; 1 national trainee). National Recruitment Manager title does not establish people-management scope. Training and salary wording varies; not an org chart.</x:v>
      </x:c>
      <x:c r="H6" s="24" t="str">
        <x:v>57 postings</x:v>
      </x:c>
    </x:row>
    <x:row r="7" ht="77.25" customHeight="1">
      <x:c r="A7" s="20" t="str">
        <x:v>R02</x:v>
      </x:c>
      <x:c r="B7" s="20" t="str">
        <x:v>Clinical education and quality improvement</x:v>
      </x:c>
      <x:c r="C7" s="29" t="n">
        <x:v>1</x:v>
      </x:c>
      <x:c r="D7" s="20" t="str">
        <x:v>Assess clinical skills in pre-submission interviews
Learn facility policies and conduct orientation support
Create educational materials and coach active clinicians
Liaise on knowledge gaps and workplace concerns
Track re-education and clinician progress with account management</x:v>
      </x:c>
      <x:c r="E7" s="20" t="str">
        <x:v>Facility clinical leaders
Amergis clinical leaders
Account management
Clinicians</x:v>
      </x:c>
      <x:c r="F7" s="20" t="str">
        <x:v>No specific systems disclosed in reviewed descriptions.</x:v>
      </x:c>
      <x:c r="G7" s="20" t="str">
        <x:v>A public advertisement describes intended responsibilities; it does not prove execution frequency, operating effectiveness, staffing levels or software configuration.</x:v>
      </x:c>
      <x:c r="H7" s="25" t="str">
        <x:v>1 posting</x:v>
      </x:c>
    </x:row>
    <x:row r="8" ht="66" customHeight="1">
      <x:c r="A8" s="19" t="str">
        <x:v>R03</x:v>
      </x:c>
      <x:c r="B8" s="19" t="str">
        <x:v>Program and process improvement management</x:v>
      </x:c>
      <x:c r="C8" s="28" t="n">
        <x:v>1</x:v>
      </x:c>
      <x:c r="D8" s="19" t="str">
        <x:v>Lead cross-functional improvement projects and project plans
Prioritize initiatives and solicit stakeholder feedback
Report and advocate objectives with executive and office leadership</x:v>
      </x:c>
      <x:c r="E8" s="19" t="str">
        <x:v>Executive team
Department management
Office leadership
Cross-functional project team</x:v>
      </x:c>
      <x:c r="F8" s="19" t="str">
        <x:v>No specific systems disclosed in reviewed descriptions.</x:v>
      </x:c>
      <x:c r="G8" s="19" t="str">
        <x:v>A public advertisement describes intended responsibilities; it does not prove execution frequency, operating effectiveness, staffing levels or software configuration.</x:v>
      </x:c>
      <x:c r="H8" s="24" t="str">
        <x:v>1 posting</x:v>
      </x:c>
    </x:row>
    <x:row r="9" ht="77.25" customHeight="1">
      <x:c r="A9" s="20" t="str">
        <x:v>R04</x:v>
      </x:c>
      <x:c r="B9" s="20" t="str">
        <x:v>Billing reimbursement and collections</x:v>
      </x:c>
      <x:c r="C9" s="29" t="n">
        <x:v>1</x:v>
      </x:c>
      <x:c r="D9" s="20" t="str">
        <x:v>Review and post billable revenue with timecards, purchase orders and contracts
Generate, validate, correct and submit invoices
Pursue overdue balances and escalate problem accounts
Code deposits and process card payments
Confirm new client invoicing instructions</x:v>
      </x:c>
      <x:c r="E9" s="20" t="str">
        <x:v>Clients
Office partners
Team lead
Other departments</x:v>
      </x:c>
      <x:c r="F9" s="20" t="str">
        <x:v>Excel and shared workbooks
explicit collaboration/reporting duties
VMS, email, mail and fax
listed invoice-submission channels; VMS vendor unspecified</x:v>
      </x:c>
      <x:c r="G9" s="20" t="str">
        <x:v>A public advertisement describes intended responsibilities; it does not prove execution frequency, operating effectiveness, staffing levels or software configuration.</x:v>
      </x:c>
      <x:c r="H9" s="25" t="str">
        <x:v>1 posting</x:v>
      </x:c>
    </x:row>
    <x:row r="10" ht="77.25" customHeight="1">
      <x:c r="A10" s="19" t="str">
        <x:v>R05</x:v>
      </x:c>
      <x:c r="B10" s="19" t="str">
        <x:v>Workers compensation claims</x:v>
      </x:c>
      <x:c r="C10" s="28" t="n">
        <x:v>1</x:v>
      </x:c>
      <x:c r="D10" s="19" t="str">
        <x:v>Manage assigned-state claims through resolution
Coordinate with third-party administrators and providers
Monitor legal deadlines and file resolution plans
Analyze financial exposure and authorize/revise reserves
Represent company in mediation/depositions
Coordinate benefits absence and transitional duty</x:v>
      </x:c>
      <x:c r="E10" s="19" t="str">
        <x:v>Third-party administrators
Medical providers
Local offices
Workers compensation manager
Benefits team
State programs</x:v>
      </x:c>
      <x:c r="F10" s="19" t="str">
        <x:v>No specific systems disclosed in reviewed descriptions.</x:v>
      </x:c>
      <x:c r="G10" s="19" t="str">
        <x:v>A public advertisement describes intended responsibilities; it does not prove execution frequency, operating effectiveness, staffing levels or software configuration.</x:v>
      </x:c>
      <x:c r="H10" s="24" t="str">
        <x:v>1 posting</x:v>
      </x:c>
    </x:row>
    <x:row r="11" ht="88.5" customHeight="1">
      <x:c r="A11" s="20" t="str">
        <x:v>R06</x:v>
      </x:c>
      <x:c r="B11" s="20" t="str">
        <x:v>Internal communications and intranet</x:v>
      </x:c>
      <x:c r="C11" s="29" t="n">
        <x:v>1</x:v>
      </x:c>
      <x:c r="D11" s="20" t="str">
        <x:v>Plan internal communications and audience/channel strategy
Create and publish communications and branded graphics
Maintain intranet structure, permissions and publishing knowledge
Audit and retire content
Run department liaison program and evaluate analytics</x:v>
      </x:c>
      <x:c r="E11" s="20" t="str">
        <x:v>Business partners
Department liaisons
Communications team
Cross-functional teams</x:v>
      </x:c>
      <x:c r="F11" s="20" t="str">
        <x:v>MergePoint
explicitly described as company intranet in job duties</x:v>
      </x:c>
      <x:c r="G11" s="20" t="str">
        <x:v>A public advertisement describes intended responsibilities; it does not prove execution frequency, operating effectiveness, staffing levels or software configuration.</x:v>
      </x:c>
      <x:c r="H11" s="25" t="str">
        <x:v>1 posting</x:v>
      </x:c>
    </x:row>
    <x:row r="12" ht="77.25" customHeight="1">
      <x:c r="A12" s="19" t="str">
        <x:v>R07</x:v>
      </x:c>
      <x:c r="B12" s="19" t="str">
        <x:v>MSP revenue operations leadership</x:v>
      </x:c>
      <x:c r="C12" s="28" t="n">
        <x:v>1</x:v>
      </x:c>
      <x:c r="D12" s="19" t="str">
        <x:v>Oversee receivables, payables, cash application and supplier payment initiation
Support new-client timecards and invoice setup
Handle over-90-day and other escalated accounts
Analyze risks to cash flow
Develop revenue staff and improve processes</x:v>
      </x:c>
      <x:c r="E12" s="19" t="str">
        <x:v>Implementation manager
Amergis corporate revenue leaders
Suppliers and agency partners
Clients
Senior leadership</x:v>
      </x:c>
      <x:c r="F12" s="19" t="str">
        <x:v>Sunburst AR management system
generic system referenced; vendor undisclosed</x:v>
      </x:c>
      <x:c r="G12" s="19" t="str">
        <x:v>A public advertisement describes intended responsibilities; it does not prove execution frequency, operating effectiveness, staffing levels or software configuration.</x:v>
      </x:c>
      <x:c r="H12" s="24" t="str">
        <x:v>1 posting</x:v>
      </x:c>
    </x:row>
    <x:row r="13" ht="88.5" customHeight="1">
      <x:c r="A13" s="20" t="str">
        <x:v>R08</x:v>
      </x:c>
      <x:c r="B13" s="20" t="str">
        <x:v>Financial analysis</x:v>
      </x:c>
      <x:c r="C13" s="29" t="n">
        <x:v>1</x:v>
      </x:c>
      <x:c r="D13" s="20" t="str">
        <x:v>Prepare weekly/monthly reports and annual projections
Analyze credit, medical billing, collections and branch profitability
Explain performance metrics and recommend operational improvement
Train junior financial analysts
Support immunization-program reporting</x:v>
      </x:c>
      <x:c r="E13" s="20" t="str">
        <x:v>Branch office managers
Regional/corporate customers
Branch and regional leadership
Financial Analyst I</x:v>
      </x:c>
      <x:c r="F13" s="20" t="str">
        <x:v>No specific systems disclosed in reviewed descriptions.</x:v>
      </x:c>
      <x:c r="G13" s="20" t="str">
        <x:v>A public advertisement describes intended responsibilities; it does not prove execution frequency, operating effectiveness, staffing levels or software configuration.</x:v>
      </x:c>
      <x:c r="H13" s="25" t="str">
        <x:v>1 posting</x:v>
      </x:c>
    </x:row>
    <x:row r="14" ht="77.25" customHeight="1">
      <x:c r="A14" s="19" t="str">
        <x:v>R09</x:v>
      </x:c>
      <x:c r="B14" s="19" t="str">
        <x:v>Local business development and recruiting leadership</x:v>
      </x:c>
      <x:c r="C14" s="28" t="n">
        <x:v>1</x:v>
      </x:c>
      <x:c r="D14" s="19" t="str">
        <x:v>Develop geographic market and referral strategy
Manage client relationships and customized proposals
Align local recruitment and business strategy
Interview, hire, lead and develop recruiters
Conduct daily recruiting red-zone meetings
Track financial targets and account activity</x:v>
      </x:c>
      <x:c r="E14" s="19" t="str">
        <x:v>Clinical and operational teams
Director of business operations
Recruiting team
Regional/national teams
Customers and referral sources</x:v>
      </x:c>
      <x:c r="F14" s="19" t="str">
        <x:v>No specific systems disclosed in reviewed descriptions.</x:v>
      </x:c>
      <x:c r="G14" s="19" t="str">
        <x:v>One posting specifies 80% customer engagement in person and a minimum of 10 pursuit target accounts per year. These are local role requirements, not enterprise-wide actuals. Administrator duty is explicitly conditional on state requirements.</x:v>
      </x:c>
      <x:c r="H14" s="24" t="str">
        <x:v>1 posting</x:v>
      </x:c>
    </x:row>
    <x:row r="15" ht="77.25" customHeight="1">
      <x:c r="A15" s="20" t="str">
        <x:v>R10</x:v>
      </x:c>
      <x:c r="B15" s="20" t="str">
        <x:v>MSP program service operations</x:v>
      </x:c>
      <x:c r="C15" s="29" t="n">
        <x:v>2</x:v>
      </x:c>
      <x:c r="D15" s="20" t="str">
        <x:v>Support program management office and client implementation orders
Maintain customer sponsors and service satisfaction
Ensure timely client/supplier billing
Document KPI and SLA adherence
Support account expansion</x:v>
      </x:c>
      <x:c r="E15" s="20" t="str">
        <x:v>Program management team
Customer sponsors
Clients
Suppliers
Divisional resources</x:v>
      </x:c>
      <x:c r="F15" s="20" t="str">
        <x:v>Microsoft Windows/Word/Excel and legacy Maxim proprietary programs
candidate knowledge requirement; unnamed proprietary software and actual configuration unknown</x:v>
      </x:c>
      <x:c r="G15" s="20" t="str">
        <x:v>A public advertisement describes intended responsibilities; it does not prove execution frequency, operating effectiveness, staffing levels or software configuration.</x:v>
      </x:c>
      <x:c r="H15" s="25" t="str">
        <x:v>2 postings</x:v>
      </x:c>
    </x:row>
    <x:row r="16" ht="88.5" customHeight="1">
      <x:c r="A16" s="19" t="str">
        <x:v>R11</x:v>
      </x:c>
      <x:c r="B16" s="19" t="str">
        <x:v>Enterprise workforce solution sales</x:v>
      </x:c>
      <x:c r="C16" s="28" t="n">
        <x:v>2</x:v>
      </x:c>
      <x:c r="D16" s="19" t="str">
        <x:v>Manage business-development targets and workforce-solution strategy
Analyze deal requirements and financials
Prepare negotiation positions and contracts
Coordinate contract requirements with delivery operations
Share market intelligence with company leadership</x:v>
      </x:c>
      <x:c r="E16" s="19" t="str">
        <x:v>Sunburst vice president
Strategic sales
Finance/operations leaders
Regional/local leadership
Delivery teams
Customers</x:v>
      </x:c>
      <x:c r="F16" s="19" t="str">
        <x:v>No specific systems disclosed in reviewed descriptions.</x:v>
      </x:c>
      <x:c r="G16" s="19" t="str">
        <x:v>Prolucent-titled posting 16918064 repeats Sunburst role body and reporting lines. Treat brand/reporting structure as unresolved; do not infer a separate confirmed Prolucent organization.</x:v>
      </x:c>
      <x:c r="H16" s="24" t="str">
        <x:v>2 postings</x:v>
      </x:c>
    </x:row>
    <x:row r="17" ht="88.5" customHeight="1">
      <x:c r="A17" s="20" t="str">
        <x:v>R12</x:v>
      </x:c>
      <x:c r="B17" s="20" t="str">
        <x:v>Network engineering</x:v>
      </x:c>
      <x:c r="C17" s="29" t="n">
        <x:v>1</x:v>
      </x:c>
      <x:c r="D17" s="20" t="str">
        <x:v>Design and implement enterprise voice/data networks
Provide tier-3 support and major-incident remediation
Document designs and evaluate technology/vendors
Train and transition services to network operations
Deploy/maintain SD-WAN</x:v>
      </x:c>
      <x:c r="E17" s="20" t="str">
        <x:v>Project teams
Network operations
Solutions architects
Vendors</x:v>
      </x:c>
      <x:c r="F17" s="20" t="str">
        <x:v>Aruba / Silver Peak SD-WAN; Cisco Meraki
named in deployment/maintenance duties
Palo Alto firewalls, Cisco ISE, Cisco routers/switches, Cisco ACI, Zscaler, Wireshark, SolarWinds
qualification/experience requirements only; not proof of production installation</x:v>
      </x:c>
      <x:c r="G17" s="20" t="str">
        <x:v>A public advertisement describes intended responsibilities; it does not prove execution frequency, operating effectiveness, staffing levels or software configuration.</x:v>
      </x:c>
      <x:c r="H17" s="25" t="str">
        <x:v>1 posting</x:v>
      </x:c>
    </x:row>
    <x:row r="18" ht="66" customHeight="1">
      <x:c r="A18" s="19" t="str">
        <x:v>R13</x:v>
      </x:c>
      <x:c r="B18" s="19" t="str">
        <x:v>MSP implementation and training</x:v>
      </x:c>
      <x:c r="C18" s="28" t="n">
        <x:v>1</x:v>
      </x:c>
      <x:c r="D18" s="19" t="str">
        <x:v>Execute client implementation plans and checklists
Collect and enter data in VMS
Train clients/suppliers and run product demos
Create job aids and revise training materials
Communicate product enhancements and workflow changes</x:v>
      </x:c>
      <x:c r="E18" s="19" t="str">
        <x:v>Implementation manager
Program management
Corporate support
Clients
Agency/supplier partners</x:v>
      </x:c>
      <x:c r="F18" s="19" t="str">
        <x:v>VMS
generic applicable tool; vendor unspecified</x:v>
      </x:c>
      <x:c r="G18" s="19" t="str">
        <x:v>A public advertisement describes intended responsibilities; it does not prove execution frequency, operating effectiveness, staffing levels or software configuration.</x:v>
      </x:c>
      <x:c r="H18" s="24" t="str">
        <x:v>1 posting</x:v>
      </x:c>
    </x:row>
    <x:row r="19" ht="99.75" customHeight="1">
      <x:c r="A19" s="20" t="str">
        <x:v>R14</x:v>
      </x:c>
      <x:c r="B19" s="20" t="str">
        <x:v>MSP compliance management</x:v>
      </x:c>
      <x:c r="C19" s="29" t="n">
        <x:v>1</x:v>
      </x:c>
      <x:c r="D19" s="20" t="str">
        <x:v>Maintain customer credentialing rules including annual refresh
Ensure pre-assignment and contract requirements are tracked
Coordinate supplier credential renewals
Audit active contractor credentials
Discover client/state requirements during implementation
Hire and develop credentialing specialists</x:v>
      </x:c>
      <x:c r="E19" s="20" t="str">
        <x:v>Credentialing specialists
Talent acquisition
Program management
Implementation team
Customers
Suppliers</x:v>
      </x:c>
      <x:c r="F19" s="20" t="str">
        <x:v>No specific systems disclosed in reviewed descriptions.</x:v>
      </x:c>
      <x:c r="G19" s="20" t="str">
        <x:v>A public advertisement describes intended responsibilities; it does not prove execution frequency, operating effectiveness, staffing levels or software configuration.</x:v>
      </x:c>
      <x:c r="H19" s="25" t="str">
        <x:v>1 posting</x:v>
      </x:c>
    </x:row>
    <x:row r="20" ht="99.75" customHeight="1">
      <x:c r="A20" s="19" t="str">
        <x:v>R15</x:v>
      </x:c>
      <x:c r="B20" s="19" t="str">
        <x:v>Regional finance operations and control</x:v>
      </x:c>
      <x:c r="C20" s="28" t="n">
        <x:v>1</x:v>
      </x:c>
      <x:c r="D20" s="19" t="str">
        <x:v>Oversee regional reporting, forecasts, budgets, cost controls and compensation analysis
Participate in financial/operational RFP and contract work
Coordinate field issues across corporate departments
Review expenses and train direct reports</x:v>
      </x:c>
      <x:c r="E20" s="19" t="str">
        <x:v>Regional controller
Field offices
Purchasing
Payroll
Contracts
Legal
Accounts payable
Revenue cycle</x:v>
      </x:c>
      <x:c r="F20" s="19" t="str">
        <x:v>No specific systems disclosed in reviewed descriptions.</x:v>
      </x:c>
      <x:c r="G20" s="19" t="str">
        <x:v>Public title is Finance Operations Manager but body explicitly calls role Assistant Controller reporting to Regional Controller. Preserve mismatch; exact organizational title is unresolved.</x:v>
      </x:c>
      <x:c r="H20" s="24" t="str">
        <x:v>1 posting</x:v>
      </x:c>
    </x:row>
    <x:row r="21" ht="111" customHeight="1">
      <x:c r="A21" s="20" t="str">
        <x:v>R16</x:v>
      </x:c>
      <x:c r="B21" s="20" t="str">
        <x:v>Field support and customer service management</x:v>
      </x:c>
      <x:c r="C21" s="29" t="n">
        <x:v>2</x:v>
      </x:c>
      <x:c r="D21" s="20" t="str">
        <x:v>Supervise field support, onboarding, payroll and credentialing
Check work-readiness and perform payroll/billing quality assurance
Coordinate records, claims, licenses, office spending and collections
Handle grievances, incident reports and compliance correction plans
Develop staff and select new team members</x:v>
      </x:c>
      <x:c r="E21" s="20" t="str">
        <x:v>Business development
Recruiting
Clinical team
Revenue cycle
Contracts/licensing
Corporate real estate
Caregivers and field staff</x:v>
      </x:c>
      <x:c r="F21" s="20" t="str">
        <x:v>I-9 / E-Verify
one job title only; shared body contains no specific E-Verify workflow
Incident database; HQM scorecard; C10; CPOC
terms named in body; product and control definitions undisclosed</x:v>
      </x:c>
      <x:c r="G21" s="20" t="str">
        <x:v>Both titles have identical generic duties, including homecare-related terminology. Do not conclude every listed homecare process applies to every staffing segment. C10 and HQM are unresolved internal terms.</x:v>
      </x:c>
      <x:c r="H21" s="25" t="str">
        <x:v>2 postings</x:v>
      </x:c>
    </x:row>
    <x:row r="22" ht="88.5" customHeight="1">
      <x:c r="A22" s="19" t="str">
        <x:v>R17</x:v>
      </x:c>
      <x:c r="B22" s="19" t="str">
        <x:v>Content marketing</x:v>
      </x:c>
      <x:c r="C22" s="28" t="n">
        <x:v>1</x:v>
      </x:c>
      <x:c r="D22" s="19" t="str">
        <x:v>Write/edit multi-channel content and maintain calendar
Coordinate review with legal, HR, clinical and subject experts
Coordinate design/video work
Publish in CMS and maintain DAM assets
Optimize search and track performance</x:v>
      </x:c>
      <x:c r="E22" s="19" t="str">
        <x:v>Content team lead
Legal
HR
Clinical
Subject matter experts
Designers/developers
Video producers</x:v>
      </x:c>
      <x:c r="F22" s="19" t="str">
        <x:v>CMS and DAM
generic systems named; vendors unspecified</x:v>
      </x:c>
      <x:c r="G22" s="19" t="str">
        <x:v>A public advertisement describes intended responsibilities; it does not prove execution frequency, operating effectiveness, staffing levels or software configuration.</x:v>
      </x:c>
      <x:c r="H22" s="24" t="str">
        <x:v>1 posting</x:v>
      </x:c>
    </x:row>
    <x:row r="23" ht="54.75" customHeight="1">
      <x:c r="A23" s="20" t="str">
        <x:v>R18</x:v>
      </x:c>
      <x:c r="B23" s="20" t="str">
        <x:v>Desktop and end-user technology support</x:v>
      </x:c>
      <x:c r="C23" s="29" t="n">
        <x:v>1</x:v>
      </x:c>
      <x:c r="D23" s="20" t="str">
        <x:v>Install/configure/test desktop systems and software
Resolve escalated help calls and coordinate vendors
Assess purchasing specifications with procurement
Ensure system interconnection and security standards</x:v>
      </x:c>
      <x:c r="E23" s="20" t="str">
        <x:v>Solution Center
Vendor support
Procurement
Corporate and remote staff</x:v>
      </x:c>
      <x:c r="F23" s="20" t="str">
        <x:v>Remedy ITSM; Microsoft SCCM, Office, Project, Internet Explorer, Visio; Windows/Mac
candidate qualification/experience requirements only; current deployment unverified</x:v>
      </x:c>
      <x:c r="G23" s="20" t="str">
        <x:v>A public advertisement describes intended responsibilities; it does not prove execution frequency, operating effectiveness, staffing levels or software configuration.</x:v>
      </x:c>
      <x:c r="H23" s="25" t="str">
        <x:v>1 posting</x:v>
      </x:c>
    </x:row>
    <x:row r="24" ht="77.25" customHeight="1">
      <x:c r="A24" s="19" t="str">
        <x:v>R19</x:v>
      </x:c>
      <x:c r="B24" s="19" t="str">
        <x:v>Onboarding and credentialing support</x:v>
      </x:c>
      <x:c r="C24" s="28" t="n">
        <x:v>1</x:v>
      </x:c>
      <x:c r="D24" s="19" t="str">
        <x:v>Guide candidates through onboarding
Track pre-assignment and contract requirements before activation
Enter and validate credential data
Obtain updated credentials before expiry
Support multiple offices and office administration</x:v>
      </x:c>
      <x:c r="E24" s="19" t="str">
        <x:v>Field support manager
Candidates
Caregivers/field staff
Clients
Offices</x:v>
      </x:c>
      <x:c r="F24" s="19" t="str">
        <x:v>No specific systems disclosed in reviewed descriptions.</x:v>
      </x:c>
      <x:c r="G24" s="19" t="str">
        <x:v>A public advertisement describes intended responsibilities; it does not prove execution frequency, operating effectiveness, staffing levels or software configuration.</x:v>
      </x:c>
      <x:c r="H24" s="24" t="str">
        <x:v>1 posting</x:v>
      </x:c>
    </x:row>
    <x:row r="25" ht="54.75" customHeight="1">
      <x:c r="A25" s="20" t="str">
        <x:v>R20</x:v>
      </x:c>
      <x:c r="B25" s="20" t="str">
        <x:v>Staffing analysis — duties unresolved</x:v>
      </x:c>
      <x:c r="C25" s="29" t="n">
        <x:v>1</x:v>
      </x:c>
      <x:c r="D25" s="20" t="str">
        <x:v>Public card provides job title, location, pay and contract status; no substantive duties disclosed</x:v>
      </x:c>
      <x:c r="E25" s="20" t="str"/>
      <x:c r="F25" s="20" t="str">
        <x:v>No specific systems disclosed in reviewed descriptions.</x:v>
      </x:c>
      <x:c r="G25" s="20" t="str">
        <x:v>Do not infer scheduling, forecasting or analytics responsibilities solely from Staffing Analyst title. No sourced tasks created for this family; seek additional public role description.</x:v>
      </x:c>
      <x:c r="H25" s="25" t="str">
        <x:v>1 posting</x:v>
      </x:c>
    </x:row>
    <x:row r="26">
      <x:c r="A26" s="2"/>
      <x:c r="B26" s="2"/>
      <x:c r="C26" s="2"/>
      <x:c r="D26" s="2"/>
      <x:c r="E26" s="2"/>
      <x:c r="F26" s="2"/>
      <x:c r="G26" s="2"/>
      <x:c r="H26" s="2"/>
    </x:row>
  </x:sheetData>
  <x:pageMargins left="0.7" right="0.7" top="0.75" bottom="0.75" header="0.3" footer="0.3"/>
  <x:legacyDrawing xmlns:r="http://schemas.openxmlformats.org/officeDocument/2006/relationships" r:id="Rb86e9fc385c94ad4"/>
  <x:tableParts count="1">
    <x:tablePart xmlns:r="http://schemas.openxmlformats.org/officeDocument/2006/relationships" r:id="Rcf14d80b57504792"/>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7.329999923706055" hidden="0" customWidth="1"/>
    <x:col min="2" max="2" width="8.890000343322754" hidden="0" customWidth="1"/>
    <x:col min="3" max="3" width="13.890000343322754" hidden="0" customWidth="1"/>
    <x:col min="4" max="4" width="46.66999816894531" hidden="0" customWidth="1"/>
    <x:col min="5" max="5" width="36.66999816894531" hidden="0" customWidth="1"/>
    <x:col min="6" max="6" width="19.440000534057617" hidden="0" customWidth="1"/>
    <x:col min="7" max="7" width="13.890000343322754" hidden="0" customWidth="1"/>
    <x:col min="8" max="8" width="12.779999732971191" hidden="0" customWidth="1"/>
  </x:cols>
  <x:sheetData>
    <x:row r="1" ht="12" customHeight="1">
      <x:c r="A1" s="2"/>
      <x:c r="B1" s="2"/>
      <x:c r="C1" s="2"/>
      <x:c r="D1" s="2"/>
      <x:c r="E1" s="2"/>
      <x:c r="F1" s="2"/>
      <x:c r="G1" s="2"/>
      <x:c r="H1" s="2"/>
    </x:row>
    <x:row r="2" ht="22.5" customHeight="1">
      <x:c r="A2" s="3" t="str">
        <x:v>Customer-specific contract rules</x:v>
      </x:c>
      <x:c r="B2" s="2"/>
      <x:c r="C2" s="2"/>
      <x:c r="D2" s="2"/>
      <x:c r="E2" s="2"/>
      <x:c r="F2" s="2"/>
      <x:c r="G2" s="2"/>
      <x:c r="H2" s="2"/>
    </x:row>
    <x:row r="3" ht="20.25" customHeight="1">
      <x:c r="A3" s="5" t="str">
        <x:v>Rules apply only to the named contract; consult Contract catalog for customer, scope and dates. Source cells retain URLs in Excel notes.</x:v>
      </x:c>
      <x:c r="B3" s="6"/>
      <x:c r="C3" s="6"/>
      <x:c r="D3" s="6"/>
      <x:c r="E3" s="6"/>
      <x:c r="F3" s="6"/>
      <x:c r="G3" s="6"/>
      <x:c r="H3" s="6"/>
    </x:row>
    <x:row r="4">
      <x:c r="A4" s="2"/>
      <x:c r="B4" s="2"/>
      <x:c r="C4" s="2"/>
      <x:c r="D4" s="2"/>
      <x:c r="E4" s="2"/>
      <x:c r="F4" s="2"/>
      <x:c r="G4" s="2"/>
      <x:c r="H4" s="2"/>
    </x:row>
    <x:row r="5" ht="27" customHeight="1">
      <x:c r="A5" s="15" t="str">
        <x:v>Rule ID</x:v>
      </x:c>
      <x:c r="B5" s="16" t="str">
        <x:v>Contract ID</x:v>
      </x:c>
      <x:c r="C5" s="16" t="str">
        <x:v>Category</x:v>
      </x:c>
      <x:c r="D5" s="16" t="str">
        <x:v>Documented rule</x:v>
      </x:c>
      <x:c r="E5" s="16" t="str">
        <x:v>Proposed agent control</x:v>
      </x:c>
      <x:c r="F5" s="16" t="str">
        <x:v>Exception reviewer</x:v>
      </x:c>
      <x:c r="G5" s="16" t="str">
        <x:v>Document location</x:v>
      </x:c>
      <x:c r="H5" s="17" t="str">
        <x:v>Source</x:v>
      </x:c>
    </x:row>
    <x:row r="6" ht="33.75" customHeight="1">
      <x:c r="A6" s="19" t="str">
        <x:v>CR001</x:v>
      </x:c>
      <x:c r="B6" s="19" t="str">
        <x:v>C01</x:v>
      </x:c>
      <x:c r="C6" s="19" t="str">
        <x:v>pricing</x:v>
      </x:c>
      <x:c r="D6" s="19" t="str">
        <x:v>Services priced at or below proposal; total acquisition cost disclosed.</x:v>
      </x:c>
      <x:c r="E6" s="19" t="str">
        <x:v>Validate quote against effective rate version and total charges.</x:v>
      </x:c>
      <x:c r="F6" s="19" t="str">
        <x:v>Contract operations</x:v>
      </x:c>
      <x:c r="G6" s="19" t="str">
        <x:v>PDF p2
3</x:v>
      </x:c>
      <x:c r="H6" s="24" t="str">
        <x:v>Rule CR001</x:v>
      </x:c>
    </x:row>
    <x:row r="7" ht="43.5" customHeight="1">
      <x:c r="A7" s="20" t="str">
        <x:v>CR002</x:v>
      </x:c>
      <x:c r="B7" s="20" t="str">
        <x:v>C01</x:v>
      </x:c>
      <x:c r="C7" s="20" t="str">
        <x:v>orders</x:v>
      </x:c>
      <x:c r="D7" s="20" t="str">
        <x:v>Orders identify cooperative contract; participating entity pays.</x:v>
      </x:c>
      <x:c r="E7" s="20" t="str">
        <x:v>Require customer, contract ID, authorized order and funding reference.</x:v>
      </x:c>
      <x:c r="F7" s="20" t="str">
        <x:v>Contract operations</x:v>
      </x:c>
      <x:c r="G7" s="20" t="str">
        <x:v>PDF p4
6A / p5 continuation</x:v>
      </x:c>
      <x:c r="H7" s="25" t="str">
        <x:v>Rule CR002</x:v>
      </x:c>
    </x:row>
    <x:row r="8" ht="33.75" customHeight="1">
      <x:c r="A8" s="19" t="str">
        <x:v>CR003</x:v>
      </x:c>
      <x:c r="B8" s="19" t="str">
        <x:v>C01</x:v>
      </x:c>
      <x:c r="C8" s="19" t="str">
        <x:v>contract hierarchy</x:v>
      </x:c>
      <x:c r="D8" s="19" t="str">
        <x:v>Customer addenda may add terms no less favorable to customer.</x:v>
      </x:c>
      <x:c r="E8" s="19" t="str">
        <x:v>Resolve master/addendum precedence before activating billing rules.</x:v>
      </x:c>
      <x:c r="F8" s="19" t="str">
        <x:v>Contracts counsel</x:v>
      </x:c>
      <x:c r="G8" s="19" t="str">
        <x:v>PDF p5
6B</x:v>
      </x:c>
      <x:c r="H8" s="24" t="str">
        <x:v>Rule CR003</x:v>
      </x:c>
    </x:row>
    <x:row r="9" ht="54.75" customHeight="1">
      <x:c r="A9" s="20" t="str">
        <x:v>CR004</x:v>
      </x:c>
      <x:c r="B9" s="20" t="str">
        <x:v>C01</x:v>
      </x:c>
      <x:c r="C9" s="20" t="str">
        <x:v>reporting</x:v>
      </x:c>
      <x:c r="D9" s="20" t="str">
        <x:v>Quarterly sales reports due 45 days after quarter-end, including zero-sales reports.
Parameters: {"frequency":"quarterly","due_days_after_period":45}</x:v>
      </x:c>
      <x:c r="E9" s="20" t="str">
        <x:v>Generate report from invoiced transaction ledger.</x:v>
      </x:c>
      <x:c r="F9" s="20" t="str">
        <x:v>Contract operations</x:v>
      </x:c>
      <x:c r="G9" s="20" t="str">
        <x:v>PDF p6
8A</x:v>
      </x:c>
      <x:c r="H9" s="25" t="str">
        <x:v>Rule CR004</x:v>
      </x:c>
    </x:row>
    <x:row r="10" ht="43.5" customHeight="1">
      <x:c r="A10" s="19" t="str">
        <x:v>CR005</x:v>
      </x:c>
      <x:c r="B10" s="19" t="str">
        <x:v>C01</x:v>
      </x:c>
      <x:c r="C10" s="19" t="str">
        <x:v>fee</x:v>
      </x:c>
      <x:c r="D10" s="19" t="str">
        <x:v>Administrative fee included in pricing; remittance due 45 days after quarter-end.
Parameters: {"due_days_after_period":45}</x:v>
      </x:c>
      <x:c r="E10" s="19" t="str">
        <x:v>Calculate fee without adding an unauthorized customer surcharge.</x:v>
      </x:c>
      <x:c r="F10" s="19" t="str">
        <x:v>Contract operations</x:v>
      </x:c>
      <x:c r="G10" s="19" t="str">
        <x:v>PDF p6
8B / p7 continuation</x:v>
      </x:c>
      <x:c r="H10" s="24" t="str">
        <x:v>Rule CR005</x:v>
      </x:c>
    </x:row>
    <x:row r="11" ht="43.5" customHeight="1">
      <x:c r="A11" s="20" t="str">
        <x:v>CR006</x:v>
      </x:c>
      <x:c r="B11" s="20" t="str">
        <x:v>C01</x:v>
      </x:c>
      <x:c r="C11" s="20" t="str">
        <x:v>service management</x:v>
      </x:c>
      <x:c r="D11" s="20" t="str">
        <x:v>Account representative and at least annual business review required.
Parameters: {"minimum_reviews_per_year":1}</x:v>
      </x:c>
      <x:c r="E11" s="20" t="str">
        <x:v>Prepare review pack and track accountable representative.</x:v>
      </x:c>
      <x:c r="F11" s="20" t="str">
        <x:v>Contract operations</x:v>
      </x:c>
      <x:c r="G11" s="20" t="str">
        <x:v>PDF p6
7</x:v>
      </x:c>
      <x:c r="H11" s="25" t="str">
        <x:v>Rule CR006</x:v>
      </x:c>
    </x:row>
    <x:row r="12" ht="33.75" customHeight="1">
      <x:c r="A12" s="19" t="str">
        <x:v>CR007</x:v>
      </x:c>
      <x:c r="B12" s="19" t="str">
        <x:v>C01</x:v>
      </x:c>
      <x:c r="C12" s="19" t="str">
        <x:v>termination</x:v>
      </x:c>
      <x:c r="D12" s="19" t="str">
        <x:v>Either party may cancel with 60 days written notice.
Parameters: {"notice_days":60}</x:v>
      </x:c>
      <x:c r="E12" s="19" t="str">
        <x:v>Create wind-down checklist only after authorized notice.</x:v>
      </x:c>
      <x:c r="F12" s="19" t="str">
        <x:v>Contract operations</x:v>
      </x:c>
      <x:c r="G12" s="19" t="str">
        <x:v>PDF p18
22</x:v>
      </x:c>
      <x:c r="H12" s="24" t="str">
        <x:v>Rule CR007</x:v>
      </x:c>
    </x:row>
    <x:row r="13" ht="43.5" customHeight="1">
      <x:c r="A13" s="20" t="str">
        <x:v>CR008</x:v>
      </x:c>
      <x:c r="B13" s="20" t="str">
        <x:v>C02</x:v>
      </x:c>
      <x:c r="C13" s="20" t="str">
        <x:v>approval</x:v>
      </x:c>
      <x:c r="D13" s="20" t="str">
        <x:v>Customer approves personnel; assignment confirmation requested back within six business days.
Parameters: {"confirmation_return_business_days":6}</x:v>
      </x:c>
      <x:c r="E13" s="20" t="str">
        <x:v>Track customer sign-off and prevent unsupported start.</x:v>
      </x:c>
      <x:c r="F13" s="20" t="str">
        <x:v>Client authorized representative</x:v>
      </x:c>
      <x:c r="G13" s="20" t="str">
        <x:v>PDF p45
5-6; Attachment A p49</x:v>
      </x:c>
      <x:c r="H13" s="25" t="str">
        <x:v>Rule CR008</x:v>
      </x:c>
    </x:row>
    <x:row r="14" ht="66" customHeight="1">
      <x:c r="A14" s="19" t="str">
        <x:v>CR009</x:v>
      </x:c>
      <x:c r="B14" s="19" t="str">
        <x:v>C02</x:v>
      </x:c>
      <x:c r="C14" s="19" t="str">
        <x:v>pricing</x:v>
      </x:c>
      <x:c r="D14" s="19" t="str">
        <x:v>Assignment-specific agreed rates can replace named-person SOW rates.
Parameters: {"currency":"USD","unit":"hour","mental_health_counselor":95,"social_worker_MS_LPCC_LMFT_LCSW":102,"psych_mental_health_technician":42,"psychiatrist":342.44}</x:v>
      </x:c>
      <x:c r="E14" s="19" t="str">
        <x:v>Resolve rate by person, assignment and effective dates.</x:v>
      </x:c>
      <x:c r="F14" s="19" t="str">
        <x:v>Contract operations</x:v>
      </x:c>
      <x:c r="G14" s="19" t="str">
        <x:v>PDF p46
8</x:v>
      </x:c>
      <x:c r="H14" s="24" t="str">
        <x:v>Rule CR009</x:v>
      </x:c>
    </x:row>
    <x:row r="15" ht="33.75" customHeight="1">
      <x:c r="A15" s="20" t="str">
        <x:v>CR010</x:v>
      </x:c>
      <x:c r="B15" s="20" t="str">
        <x:v>C02</x:v>
      </x:c>
      <x:c r="C15" s="20" t="str">
        <x:v>orientation</x:v>
      </x:c>
      <x:c r="D15" s="20" t="str">
        <x:v>Required customer orientation billed at applicable bill rate.</x:v>
      </x:c>
      <x:c r="E15" s="20" t="str">
        <x:v>Classify approved orientation hours separately.</x:v>
      </x:c>
      <x:c r="F15" s="20" t="str">
        <x:v>Contract operations</x:v>
      </x:c>
      <x:c r="G15" s="20" t="str">
        <x:v>PDF p46
9</x:v>
      </x:c>
      <x:c r="H15" s="25" t="str">
        <x:v>Rule CR010</x:v>
      </x:c>
    </x:row>
    <x:row r="16" ht="77.25" customHeight="1">
      <x:c r="A16" s="19" t="str">
        <x:v>CR011</x:v>
      </x:c>
      <x:c r="B16" s="19" t="str">
        <x:v>C02</x:v>
      </x:c>
      <x:c r="C16" s="19" t="str">
        <x:v>overtime</x:v>
      </x:c>
      <x:c r="D16" s="19" t="str">
        <x:v>Customer overtime billing requires written approval; charged rates follow the clause’s referenced federal/California rules.
Parameters: {"approval":"written customer approval","rate_semantics":"customer billing charges; not worker wage or compensation rules"}</x:v>
      </x:c>
      <x:c r="E16" s="19" t="str">
        <x:v>Validate customer authorization and the configured contract billing calculation. Missing client overtime approval must not suppress worker pay; worker compensation is determined separately under applicable pay rules.</x:v>
      </x:c>
      <x:c r="F16" s="19" t="str">
        <x:v>Client supervisor / billing contract owner</x:v>
      </x:c>
      <x:c r="G16" s="19" t="str">
        <x:v>PDF p46
10</x:v>
      </x:c>
      <x:c r="H16" s="24" t="str">
        <x:v>Rule CR011</x:v>
      </x:c>
    </x:row>
    <x:row r="17" ht="77.25" customHeight="1">
      <x:c r="A17" s="20" t="str">
        <x:v>CR012</x:v>
      </x:c>
      <x:c r="B17" s="20" t="str">
        <x:v>C02</x:v>
      </x:c>
      <x:c r="C17" s="20" t="str">
        <x:v>holiday</x:v>
      </x:c>
      <x:c r="D17" s="20" t="str">
        <x:v>Customer holiday billing is 1.5× the applicable bill rate on six holidays, 11pm before to 11pm on the holiday.
Parameters: {"multiplier":1.5,"holidays":["New Year’s Day","Memorial Day","Independence Day","Labor Day","Thanksgiving Day","Christmas Day"],"rate_semantics":"customer billing charges; not worker wage or compensation rules"}</x:v>
      </x:c>
      <x:c r="E17" s="20" t="str">
        <x:v>Apply the customer billing calendar and resolve worksite timezone. This multiplier does not establish a worker holiday-pay entitlement or amount.</x:v>
      </x:c>
      <x:c r="F17" s="20" t="str">
        <x:v>Billing contract owner</x:v>
      </x:c>
      <x:c r="G17" s="20" t="str">
        <x:v>PDF p46
11</x:v>
      </x:c>
      <x:c r="H17" s="25" t="str">
        <x:v>Rule CR012</x:v>
      </x:c>
    </x:row>
    <x:row r="18" ht="66" customHeight="1">
      <x:c r="A18" s="19" t="str">
        <x:v>CR013</x:v>
      </x:c>
      <x:c r="B18" s="19" t="str">
        <x:v>C02</x:v>
      </x:c>
      <x:c r="C18" s="19" t="str">
        <x:v>invoice payment</x:v>
      </x:c>
      <x:c r="D18" s="19" t="str">
        <x:v>Monthly invoicing; payment 45 days after receipt and approval; disputes within 14 days.
Parameters: {"invoice_frequency":"calendar_month","payment_days_after_received_and_approved":45,"dispute_days_from_invoice":14}</x:v>
      </x:c>
      <x:c r="E18" s="19" t="str">
        <x:v>Track receipt and approval as separate events.</x:v>
      </x:c>
      <x:c r="F18" s="19" t="str">
        <x:v>Contract operations</x:v>
      </x:c>
      <x:c r="G18" s="19" t="str">
        <x:v>PDF p46
13</x:v>
      </x:c>
      <x:c r="H18" s="24" t="str">
        <x:v>Rule CR013</x:v>
      </x:c>
    </x:row>
    <x:row r="19" ht="77.25" customHeight="1">
      <x:c r="A19" s="20" t="str">
        <x:v>CR014</x:v>
      </x:c>
      <x:c r="B19" s="20" t="str">
        <x:v>C02</x:v>
      </x:c>
      <x:c r="C19" s="20" t="str">
        <x:v>on call</x:v>
      </x:c>
      <x:c r="D19" s="20" t="str">
        <x:v>Customer standby billing is $10/hour; callback billing uses the contract overtime rate or higher rate required by its clause.
Parameters: {"on_call_hourly_USD":10,"rate_semantics":"customer billing charges; not worker wage or compensation rules"}</x:v>
      </x:c>
      <x:c r="E19" s="20" t="str">
        <x:v>Separate customer standby/callback charges and prevent double counting. Determine worker standby and callback compensation independently; the $10 bill rate is not a worker pay rate.</x:v>
      </x:c>
      <x:c r="F19" s="20" t="str">
        <x:v>Billing contract owner</x:v>
      </x:c>
      <x:c r="G19" s="20" t="str">
        <x:v>PDF p47
16</x:v>
      </x:c>
      <x:c r="H19" s="25" t="str">
        <x:v>Rule CR014</x:v>
      </x:c>
    </x:row>
    <x:row r="20" ht="54.75" customHeight="1">
      <x:c r="A20" s="19" t="str">
        <x:v>CR015</x:v>
      </x:c>
      <x:c r="B20" s="19" t="str">
        <x:v>C02</x:v>
      </x:c>
      <x:c r="C20" s="19" t="str">
        <x:v>credentialing</x:v>
      </x:c>
      <x:c r="D20" s="19" t="str">
        <x:v>Verify role-specific credentials, background, TB, work authorization, employment and exclusion checks.
Parameters: {"employment_verification_service":"The Work Number"}</x:v>
      </x:c>
      <x:c r="E20" s="19" t="str">
        <x:v>Maintain evidence/expiry checklist; route substantive adverse results to authorized reviewers.</x:v>
      </x:c>
      <x:c r="F20" s="19" t="str">
        <x:v>Credentialing / clinical owner</x:v>
      </x:c>
      <x:c r="G20" s="19" t="str">
        <x:v>PDF p50
Attachment B</x:v>
      </x:c>
      <x:c r="H20" s="24" t="str">
        <x:v>Rule CR015</x:v>
      </x:c>
    </x:row>
    <x:row r="21" ht="33.75" customHeight="1">
      <x:c r="A21" s="20" t="str">
        <x:v>CR016</x:v>
      </x:c>
      <x:c r="B21" s="20" t="str">
        <x:v>C02</x:v>
      </x:c>
      <x:c r="C21" s="20" t="str">
        <x:v>subcontractor</x:v>
      </x:c>
      <x:c r="D21" s="20" t="str">
        <x:v>Requested locum providers may use 1099 contractors through Amergis Locum Tenens.</x:v>
      </x:c>
      <x:c r="E21" s="20" t="str">
        <x:v>Require permitted service modality and approved contracting path.</x:v>
      </x:c>
      <x:c r="F21" s="20" t="str">
        <x:v>Contract operations</x:v>
      </x:c>
      <x:c r="G21" s="20" t="str">
        <x:v>PDF p47
17</x:v>
      </x:c>
      <x:c r="H21" s="25" t="str">
        <x:v>Rule CR016</x:v>
      </x:c>
    </x:row>
    <x:row r="22" ht="33.75" customHeight="1">
      <x:c r="A22" s="19" t="str">
        <x:v>CR017</x:v>
      </x:c>
      <x:c r="B22" s="19" t="str">
        <x:v>C02</x:v>
      </x:c>
      <x:c r="C22" s="19" t="str">
        <x:v>non solicitation</x:v>
      </x:c>
      <x:c r="D22" s="19" t="str">
        <x:v>Initial-assignment non-solicitation applies to extent allowed by law.</x:v>
      </x:c>
      <x:c r="E22" s="19" t="str">
        <x:v>Flag direct-hire request for contract interpretation; do not invent conversion fee.</x:v>
      </x:c>
      <x:c r="F22" s="19" t="str">
        <x:v>Contracts counsel</x:v>
      </x:c>
      <x:c r="G22" s="19" t="str">
        <x:v>PDF p48
24</x:v>
      </x:c>
      <x:c r="H22" s="24" t="str">
        <x:v>Rule CR017</x:v>
      </x:c>
    </x:row>
    <x:row r="23" ht="33.75" customHeight="1">
      <x:c r="A23" s="20" t="str">
        <x:v>CR018</x:v>
      </x:c>
      <x:c r="B23" s="20" t="str">
        <x:v>C03</x:v>
      </x:c>
      <x:c r="C23" s="20" t="str">
        <x:v>orders</x:v>
      </x:c>
      <x:c r="D23" s="20" t="str">
        <x:v>Signed purchase order triggers service; no guaranteed quantity.</x:v>
      </x:c>
      <x:c r="E23" s="20" t="str">
        <x:v>Require authorized PO before confirming commercial commitment.</x:v>
      </x:c>
      <x:c r="F23" s="20" t="str">
        <x:v>Contract operations</x:v>
      </x:c>
      <x:c r="G23" s="20" t="str">
        <x:v>PDF p2
5</x:v>
      </x:c>
      <x:c r="H23" s="25" t="str">
        <x:v>Rule CR018</x:v>
      </x:c>
    </x:row>
    <x:row r="24" ht="43.5" customHeight="1">
      <x:c r="A24" s="19" t="str">
        <x:v>CR019</x:v>
      </x:c>
      <x:c r="B24" s="19" t="str">
        <x:v>C03</x:v>
      </x:c>
      <x:c r="C24" s="19" t="str">
        <x:v>invoice payment</x:v>
      </x:c>
      <x:c r="D24" s="19" t="str">
        <x:v>Monthly service report/invoice; original invoice references PO and unit prices.
Parameters: {"invoice_frequency":"monthly"}</x:v>
      </x:c>
      <x:c r="E24" s="19" t="str">
        <x:v>Validate PO, invoice uniqueness, service detail and supporting documentation.</x:v>
      </x:c>
      <x:c r="F24" s="19" t="str">
        <x:v>Contract operations</x:v>
      </x:c>
      <x:c r="G24" s="19" t="str">
        <x:v>PDF p2
8; RFP p15</x:v>
      </x:c>
      <x:c r="H24" s="24" t="str">
        <x:v>Rule CR019</x:v>
      </x:c>
    </x:row>
    <x:row r="25" ht="43.5" customHeight="1">
      <x:c r="A25" s="20" t="str">
        <x:v>CR020</x:v>
      </x:c>
      <x:c r="B25" s="20" t="str">
        <x:v>C03</x:v>
      </x:c>
      <x:c r="C25" s="20" t="str">
        <x:v>timekeeping</x:v>
      </x:c>
      <x:c r="D25" s="20" t="str">
        <x:v>Use district timekeeping; worksite supervisor-approved timecard required.</x:v>
      </x:c>
      <x:c r="E25" s="20" t="str">
        <x:v>Import client evidence; preserve supervisor approval before billing.</x:v>
      </x:c>
      <x:c r="F25" s="20" t="str">
        <x:v>Contract operations</x:v>
      </x:c>
      <x:c r="G25" s="20" t="str">
        <x:v>PDF p46
Addendum II Q8/Q12</x:v>
      </x:c>
      <x:c r="H25" s="25" t="str">
        <x:v>Rule CR020</x:v>
      </x:c>
    </x:row>
    <x:row r="26" ht="43.5" customHeight="1">
      <x:c r="A26" s="19" t="str">
        <x:v>CR021</x:v>
      </x:c>
      <x:c r="B26" s="19" t="str">
        <x:v>C03</x:v>
      </x:c>
      <x:c r="C26" s="19" t="str">
        <x:v>communication</x:v>
      </x:c>
      <x:c r="D26" s="19" t="str">
        <x:v>District prefers email and declined VMS implementation.</x:v>
      </x:c>
      <x:c r="E26" s="19" t="str">
        <x:v>Support email intake and customer-specific connectors.</x:v>
      </x:c>
      <x:c r="F26" s="19" t="str">
        <x:v>Contract operations</x:v>
      </x:c>
      <x:c r="G26" s="19" t="str">
        <x:v>PDF p46
Addendum II Q10/Q11</x:v>
      </x:c>
      <x:c r="H26" s="24" t="str">
        <x:v>Rule CR021</x:v>
      </x:c>
    </x:row>
    <x:row r="27" ht="43.5" customHeight="1">
      <x:c r="A27" s="20" t="str">
        <x:v>CR022</x:v>
      </x:c>
      <x:c r="B27" s="20" t="str">
        <x:v>C03</x:v>
      </x:c>
      <x:c r="C27" s="20" t="str">
        <x:v>credentialing</x:v>
      </x:c>
      <x:c r="D27" s="20" t="str">
        <x:v>Proposal describes preassignment credential verification and monthly file audits.
Parameters: {"audit_frequency":"monthly"}</x:v>
      </x:c>
      <x:c r="E27" s="20" t="str">
        <x:v>Schedule credential expiry checks; distinguish proposal claim from observed performance.</x:v>
      </x:c>
      <x:c r="F27" s="20" t="str">
        <x:v>Credentialing</x:v>
      </x:c>
      <x:c r="G27" s="20" t="str">
        <x:v>PDF p65
Proposal screening</x:v>
      </x:c>
      <x:c r="H27" s="25" t="str">
        <x:v>Rule CR022</x:v>
      </x:c>
    </x:row>
    <x:row r="28" ht="43.5" customHeight="1">
      <x:c r="A28" s="19" t="str">
        <x:v>CR023</x:v>
      </x:c>
      <x:c r="B28" s="19" t="str">
        <x:v>C03</x:v>
      </x:c>
      <x:c r="C28" s="19" t="str">
        <x:v>invoice quality</x:v>
      </x:c>
      <x:c r="D28" s="19" t="str">
        <x:v>Proposal describes discrepancy reconciliation and at least two internal invoice reviewers.
Parameters: {"minimum_internal_reviewers":2}</x:v>
      </x:c>
      <x:c r="E28" s="19" t="str">
        <x:v>Use independent calculation/validation roles and preserve review events.</x:v>
      </x:c>
      <x:c r="F28" s="19" t="str">
        <x:v>Contract operations</x:v>
      </x:c>
      <x:c r="G28" s="19" t="str">
        <x:v>PDF p70
Proposal billing</x:v>
      </x:c>
      <x:c r="H28" s="24" t="str">
        <x:v>Rule CR023</x:v>
      </x:c>
    </x:row>
    <x:row r="29" ht="43.5" customHeight="1">
      <x:c r="A29" s="20" t="str">
        <x:v>CR024</x:v>
      </x:c>
      <x:c r="B29" s="20" t="str">
        <x:v>C03</x:v>
      </x:c>
      <x:c r="C29" s="20" t="str">
        <x:v>incident quality</x:v>
      </x:c>
      <x:c r="D29" s="20" t="str">
        <x:v>Proposal describes documented escalation, root-cause investigation and clinical-team remediation input.</x:v>
      </x:c>
      <x:c r="E29" s="20" t="str">
        <x:v>Assemble incident evidence and route clinical judgments.</x:v>
      </x:c>
      <x:c r="F29" s="20" t="str">
        <x:v>Clinical quality lead</x:v>
      </x:c>
      <x:c r="G29" s="20" t="str">
        <x:v>PDF p70
Proposal corrective action</x:v>
      </x:c>
      <x:c r="H29" s="25" t="str">
        <x:v>Rule CR024</x:v>
      </x:c>
    </x:row>
    <x:row r="30" ht="54.75" customHeight="1">
      <x:c r="A30" s="19" t="str">
        <x:v>CR025</x:v>
      </x:c>
      <x:c r="B30" s="19" t="str">
        <x:v>C03</x:v>
      </x:c>
      <x:c r="C30" s="19" t="str">
        <x:v>data boundary</x:v>
      </x:c>
      <x:c r="D30" s="19" t="str">
        <x:v>Supplier says student data stays in district systems; staff access district hardware/software.</x:v>
      </x:c>
      <x:c r="E30" s="19" t="str">
        <x:v>Keep staffing data separate from client student records.</x:v>
      </x:c>
      <x:c r="F30" s="19" t="str">
        <x:v>Contract operations</x:v>
      </x:c>
      <x:c r="G30" s="19" t="str">
        <x:v>PDF p99
Attachment D clarification, April 22 2025</x:v>
      </x:c>
      <x:c r="H30" s="24" t="str">
        <x:v>Rule CR025</x:v>
      </x:c>
    </x:row>
    <x:row r="31" ht="33.75" customHeight="1">
      <x:c r="A31" s="20" t="str">
        <x:v>CR026</x:v>
      </x:c>
      <x:c r="B31" s="20" t="str">
        <x:v>C03</x:v>
      </x:c>
      <x:c r="C31" s="20" t="str">
        <x:v>termination</x:v>
      </x:c>
      <x:c r="D31" s="20" t="str">
        <x:v>County can terminate on 30 calendar days written notice.
Parameters: {"notice_days":30}</x:v>
      </x:c>
      <x:c r="E31" s="20" t="str">
        <x:v>Track authorized notice and assignment wind-down.</x:v>
      </x:c>
      <x:c r="F31" s="20" t="str">
        <x:v>Contract operations</x:v>
      </x:c>
      <x:c r="G31" s="20" t="str">
        <x:v>PDF p1
1</x:v>
      </x:c>
      <x:c r="H31" s="25" t="str">
        <x:v>Rule CR026</x:v>
      </x:c>
    </x:row>
    <x:row r="32" ht="33.75" customHeight="1">
      <x:c r="A32" s="19" t="str">
        <x:v>CR027</x:v>
      </x:c>
      <x:c r="B32" s="19" t="str">
        <x:v>C03</x:v>
      </x:c>
      <x:c r="C32" s="19" t="str">
        <x:v>quality remedy</x:v>
      </x:c>
      <x:c r="D32" s="19" t="str">
        <x:v>Documented service problems allow 72 hours to rectify.
Parameters: {"remedy_hours":72}</x:v>
      </x:c>
      <x:c r="E32" s="19" t="str">
        <x:v>Start case deadline and escalate impending breach.</x:v>
      </x:c>
      <x:c r="F32" s="19" t="str">
        <x:v>Account manager</x:v>
      </x:c>
      <x:c r="G32" s="19" t="str">
        <x:v>PDF p3
19</x:v>
      </x:c>
      <x:c r="H32" s="24" t="str">
        <x:v>Rule CR027</x:v>
      </x:c>
    </x:row>
    <x:row r="33" ht="33.75" customHeight="1">
      <x:c r="A33" s="20" t="str">
        <x:v>CR028</x:v>
      </x:c>
      <x:c r="B33" s="20" t="str">
        <x:v>C03</x:v>
      </x:c>
      <x:c r="C33" s="20" t="str">
        <x:v>subcontractor</x:v>
      </x:c>
      <x:c r="D33" s="20" t="str">
        <x:v>Assignment/subcontract requires county written consent.</x:v>
      </x:c>
      <x:c r="E33" s="20" t="str">
        <x:v>Block new supplier routing without consent evidence.</x:v>
      </x:c>
      <x:c r="F33" s="20" t="str">
        <x:v>Contract operations</x:v>
      </x:c>
      <x:c r="G33" s="20" t="str">
        <x:v>PDF p10
RFP 2.3</x:v>
      </x:c>
      <x:c r="H33" s="25" t="str">
        <x:v>Rule CR028</x:v>
      </x:c>
    </x:row>
    <x:row r="34" ht="54.75" customHeight="1">
      <x:c r="A34" s="19" t="str">
        <x:v>CR029</x:v>
      </x:c>
      <x:c r="B34" s="19" t="str">
        <x:v>C04</x:v>
      </x:c>
      <x:c r="C34" s="19" t="str">
        <x:v>timekeeping</x:v>
      </x:c>
      <x:c r="D34" s="19" t="str">
        <x:v>MaxView hours reviewed weekly by Monday noon CST unless district requests more time.
Parameters: {"approval_day":"Monday","approval_time_literal":"noon CST"}</x:v>
      </x:c>
      <x:c r="E34" s="19" t="str">
        <x:v>Preserve literal timezone and agreed extension; resolve daylight-saving semantics before scheduling.</x:v>
      </x:c>
      <x:c r="F34" s="19" t="str">
        <x:v>Contract operations</x:v>
      </x:c>
      <x:c r="G34" s="19" t="str">
        <x:v>PDF p10
5(h)</x:v>
      </x:c>
      <x:c r="H34" s="24" t="str">
        <x:v>Rule CR029</x:v>
      </x:c>
    </x:row>
    <x:row r="35" ht="33.75" customHeight="1">
      <x:c r="A35" s="20" t="str">
        <x:v>CR030</x:v>
      </x:c>
      <x:c r="B35" s="20" t="str">
        <x:v>C04</x:v>
      </x:c>
      <x:c r="C35" s="20" t="str">
        <x:v>payroll billing</x:v>
      </x:c>
      <x:c r="D35" s="20" t="str">
        <x:v>District-approved hours feed weekly payroll/billing; unapproved hours discussed.</x:v>
      </x:c>
      <x:c r="E35" s="20" t="str">
        <x:v>Separate wage obligations from commercial approval holds.</x:v>
      </x:c>
      <x:c r="F35" s="20" t="str">
        <x:v>Payroll / client supervisor</x:v>
      </x:c>
      <x:c r="G35" s="20" t="str">
        <x:v>PDF p10
5(h)</x:v>
      </x:c>
      <x:c r="H35" s="25" t="str">
        <x:v>Rule CR030</x:v>
      </x:c>
    </x:row>
    <x:row r="36" ht="54.75" customHeight="1">
      <x:c r="A36" s="19" t="str">
        <x:v>CR031</x:v>
      </x:c>
      <x:c r="B36" s="19" t="str">
        <x:v>C04</x:v>
      </x:c>
      <x:c r="C36" s="19" t="str">
        <x:v>invoice payment</x:v>
      </x:c>
      <x:c r="D36" s="19" t="str">
        <x:v>Weekly invoices; verified payment within 45 calendar days after Board approval.
Parameters: {"invoice_frequency":"weekly","payment_days_after_board_approval":45}</x:v>
      </x:c>
      <x:c r="E36" s="19" t="str">
        <x:v>Track Board approval rather than invoice date as due-date trigger.</x:v>
      </x:c>
      <x:c r="F36" s="19" t="str">
        <x:v>Contract operations</x:v>
      </x:c>
      <x:c r="G36" s="19" t="str">
        <x:v>PDF p16
9(b)-(d)</x:v>
      </x:c>
      <x:c r="H36" s="24" t="str">
        <x:v>Rule CR031</x:v>
      </x:c>
    </x:row>
    <x:row r="37" ht="33.75" customHeight="1">
      <x:c r="A37" s="20" t="str">
        <x:v>CR032</x:v>
      </x:c>
      <x:c r="B37" s="20" t="str">
        <x:v>C04</x:v>
      </x:c>
      <x:c r="C37" s="20" t="str">
        <x:v>scope change</x:v>
      </x:c>
      <x:c r="D37" s="20" t="str">
        <x:v>Additional services require prior written district approval and separate invoice.</x:v>
      </x:c>
      <x:c r="E37" s="20" t="str">
        <x:v>Require scope-change approval ID before billing new work.</x:v>
      </x:c>
      <x:c r="F37" s="20" t="str">
        <x:v>Contract operations</x:v>
      </x:c>
      <x:c r="G37" s="20" t="str">
        <x:v>PDF p16
9(c)</x:v>
      </x:c>
      <x:c r="H37" s="25" t="str">
        <x:v>Rule CR032</x:v>
      </x:c>
    </x:row>
    <x:row r="38" ht="43.5" customHeight="1">
      <x:c r="A38" s="19" t="str">
        <x:v>CR033</x:v>
      </x:c>
      <x:c r="B38" s="19" t="str">
        <x:v>C04</x:v>
      </x:c>
      <x:c r="C38" s="19" t="str">
        <x:v>cancellation</x:v>
      </x:c>
      <x:c r="D38" s="19" t="str">
        <x:v>Per-diem cancellation under two hours incurs two hours per scheduled worker.
Parameters: {"notice_threshold_hours":2,"charge_hours":2}</x:v>
      </x:c>
      <x:c r="E38" s="19" t="str">
        <x:v>Use timestamped cancellation event and per-diem classification.</x:v>
      </x:c>
      <x:c r="F38" s="19" t="str">
        <x:v>Contract operations</x:v>
      </x:c>
      <x:c r="G38" s="19" t="str">
        <x:v>PDF p8
4(h)(iv)(2)</x:v>
      </x:c>
      <x:c r="H38" s="24" t="str">
        <x:v>Rule CR033</x:v>
      </x:c>
    </x:row>
    <x:row r="39" ht="43.5" customHeight="1">
      <x:c r="A39" s="20" t="str">
        <x:v>CR034</x:v>
      </x:c>
      <x:c r="B39" s="20" t="str">
        <x:v>C04</x:v>
      </x:c>
      <x:c r="C39" s="20" t="str">
        <x:v>overtime</x:v>
      </x:c>
      <x:c r="D39" s="20" t="str">
        <x:v>Overtime exceeds 40 hours/week or state threshold; generally 1.5× bill rate.
Parameters: {"weekly_threshold_hours":40,"multiplier":1.5}</x:v>
      </x:c>
      <x:c r="E39" s="20" t="str">
        <x:v>Version workweek and jurisdiction rules; avoid assuming bill/pay parity.</x:v>
      </x:c>
      <x:c r="F39" s="20" t="str">
        <x:v>Contract operations</x:v>
      </x:c>
      <x:c r="G39" s="20" t="str">
        <x:v>PDF p33
SOW 9</x:v>
      </x:c>
      <x:c r="H39" s="25" t="str">
        <x:v>Rule CR034</x:v>
      </x:c>
    </x:row>
    <x:row r="40" ht="77.25" customHeight="1">
      <x:c r="A40" s="19" t="str">
        <x:v>CR035</x:v>
      </x:c>
      <x:c r="B40" s="19" t="str">
        <x:v>C04</x:v>
      </x:c>
      <x:c r="C40" s="19" t="str">
        <x:v>holiday</x:v>
      </x:c>
      <x:c r="D40" s="19" t="str">
        <x:v>Customer holiday billing is 1.5× the bill rate for six specified holidays, 11pm before to 11pm on the holiday.
Parameters: {"multiplier":1.5,"holidays":["New Year’s Day","Memorial Day","Independence Day","Labor Day","Thanksgiving Day","Christmas Day"],"rate_semantics":"customer billing charges; not worker wage or compensation rules"}</x:v>
      </x:c>
      <x:c r="E40" s="19" t="str">
        <x:v>Use the contract-specific customer billing calendar. Determine worker holiday compensation separately; do not apply this bill-rate multiplier as a wage rule.</x:v>
      </x:c>
      <x:c r="F40" s="19" t="str">
        <x:v>Billing contract owner</x:v>
      </x:c>
      <x:c r="G40" s="19" t="str">
        <x:v>PDF p33
SOW 10</x:v>
      </x:c>
      <x:c r="H40" s="24" t="str">
        <x:v>Rule CR035</x:v>
      </x:c>
    </x:row>
    <x:row r="41" ht="33.75" customHeight="1">
      <x:c r="A41" s="20" t="str">
        <x:v>CR036</x:v>
      </x:c>
      <x:c r="B41" s="20" t="str">
        <x:v>C04</x:v>
      </x:c>
      <x:c r="C41" s="20" t="str">
        <x:v>credentialing</x:v>
      </x:c>
      <x:c r="D41" s="20" t="str">
        <x:v>Clinical and education screening checklists differ by role.</x:v>
      </x:c>
      <x:c r="E41" s="20" t="str">
        <x:v>Select requirements by discipline, client and service type.</x:v>
      </x:c>
      <x:c r="F41" s="20" t="str">
        <x:v>Credentialing</x:v>
      </x:c>
      <x:c r="G41" s="20" t="str">
        <x:v>PDF p34
Attachment B</x:v>
      </x:c>
      <x:c r="H41" s="25" t="str">
        <x:v>Rule CR036</x:v>
      </x:c>
    </x:row>
    <x:row r="42" ht="43.5" customHeight="1">
      <x:c r="A42" s="19" t="str">
        <x:v>CR037</x:v>
      </x:c>
      <x:c r="B42" s="19" t="str">
        <x:v>C04</x:v>
      </x:c>
      <x:c r="C42" s="19" t="str">
        <x:v>incident quality</x:v>
      </x:c>
      <x:c r="D42" s="19" t="str">
        <x:v>District reports HR-intervention incidents within three business days and supplies investigation documentation.
Parameters: {"notice_business_days":3}</x:v>
      </x:c>
      <x:c r="E42" s="19" t="str">
        <x:v>Track business-day deadline and responsible human investigator.</x:v>
      </x:c>
      <x:c r="F42" s="19" t="str">
        <x:v>HR / clinical quality</x:v>
      </x:c>
      <x:c r="G42" s="19" t="str">
        <x:v>PDF p10
5(g)</x:v>
      </x:c>
      <x:c r="H42" s="24" t="str">
        <x:v>Rule CR037</x:v>
      </x:c>
    </x:row>
    <x:row r="43" ht="33.75" customHeight="1">
      <x:c r="A43" s="20" t="str">
        <x:v>CR038</x:v>
      </x:c>
      <x:c r="B43" s="20" t="str">
        <x:v>C04</x:v>
      </x:c>
      <x:c r="C43" s="20" t="str">
        <x:v>subcontractor</x:v>
      </x:c>
      <x:c r="D43" s="20" t="str">
        <x:v>Subcontracting/delegation requires district prior written consent.</x:v>
      </x:c>
      <x:c r="E43" s="20" t="str">
        <x:v>Check consent before third-party delivery.</x:v>
      </x:c>
      <x:c r="F43" s="20" t="str">
        <x:v>Contract operations</x:v>
      </x:c>
      <x:c r="G43" s="20" t="str">
        <x:v>PDF p28
22</x:v>
      </x:c>
      <x:c r="H43" s="25" t="str">
        <x:v>Rule CR038</x:v>
      </x:c>
    </x:row>
    <x:row r="44" ht="54.75" customHeight="1">
      <x:c r="A44" s="19" t="str">
        <x:v>CR039</x:v>
      </x:c>
      <x:c r="B44" s="19" t="str">
        <x:v>C05</x:v>
      </x:c>
      <x:c r="C44" s="19" t="str">
        <x:v>pricing</x:v>
      </x:c>
      <x:c r="D44" s="19" t="str">
        <x:v>Hourly $60; agreement ceiling $335,000 includes fees and expenses.
Parameters: {"bill_hourly_USD":60,"contract_ceiling_USD":335000}</x:v>
      </x:c>
      <x:c r="E44" s="19" t="str">
        <x:v>Forecast ceiling consumption using approved hours; never treat as revenue.</x:v>
      </x:c>
      <x:c r="F44" s="19" t="str">
        <x:v>Contract operations</x:v>
      </x:c>
      <x:c r="G44" s="19" t="str">
        <x:v>PDF p19
Exhibit A clause 3</x:v>
      </x:c>
      <x:c r="H44" s="24" t="str">
        <x:v>Rule CR039</x:v>
      </x:c>
    </x:row>
    <x:row r="45" ht="43.5" customHeight="1">
      <x:c r="A45" s="20" t="str">
        <x:v>CR040</x:v>
      </x:c>
      <x:c r="B45" s="20" t="str">
        <x:v>C05</x:v>
      </x:c>
      <x:c r="C45" s="20" t="str">
        <x:v>invoice payment</x:v>
      </x:c>
      <x:c r="D45" s="20" t="str">
        <x:v>Undisputed payment within 60 days of compliant invoice and written service approval.
Parameters: {"payment_days":60,"approval_required":true}</x:v>
      </x:c>
      <x:c r="E45" s="20" t="str">
        <x:v>Capture client service acceptance and invoice completeness.</x:v>
      </x:c>
      <x:c r="F45" s="20" t="str">
        <x:v>Contract operations</x:v>
      </x:c>
      <x:c r="G45" s="20" t="str">
        <x:v>PDF p4
3(d)</x:v>
      </x:c>
      <x:c r="H45" s="25" t="str">
        <x:v>Rule CR040</x:v>
      </x:c>
    </x:row>
    <x:row r="46" ht="54.75" customHeight="1">
      <x:c r="A46" s="19" t="str">
        <x:v>CR041</x:v>
      </x:c>
      <x:c r="B46" s="19" t="str">
        <x:v>C05</x:v>
      </x:c>
      <x:c r="C46" s="19" t="str">
        <x:v>invoice deadline</x:v>
      </x:c>
      <x:c r="D46" s="19" t="str">
        <x:v>Invoice no more frequently than monthly; submit within 30 days of period-end.
Parameters: {"frequency":"monthly","submission_deadline_days":30}</x:v>
      </x:c>
      <x:c r="E46" s="19" t="str">
        <x:v>Alert before invoice submission deadline.</x:v>
      </x:c>
      <x:c r="F46" s="19" t="str">
        <x:v>Contract operations</x:v>
      </x:c>
      <x:c r="G46" s="19" t="str">
        <x:v>PDF p5
4(c)</x:v>
      </x:c>
      <x:c r="H46" s="24" t="str">
        <x:v>Rule CR041</x:v>
      </x:c>
    </x:row>
    <x:row r="47" ht="33.75" customHeight="1">
      <x:c r="A47" s="20" t="str">
        <x:v>CR042</x:v>
      </x:c>
      <x:c r="B47" s="20" t="str">
        <x:v>C05</x:v>
      </x:c>
      <x:c r="C47" s="20" t="str">
        <x:v>invoice fields</x:v>
      </x:c>
      <x:c r="D47" s="20" t="str">
        <x:v>Invoices include PO, personnel, dated services, rate basis and delivery mode; email submission.</x:v>
      </x:c>
      <x:c r="E47" s="20" t="str">
        <x:v>Schema-check billing packet and in-person/remote flag.</x:v>
      </x:c>
      <x:c r="F47" s="20" t="str">
        <x:v>Contract operations</x:v>
      </x:c>
      <x:c r="G47" s="20" t="str">
        <x:v>PDF p5
4(a),(e),(f)</x:v>
      </x:c>
      <x:c r="H47" s="25" t="str">
        <x:v>Rule CR042</x:v>
      </x:c>
    </x:row>
    <x:row r="48" ht="33.75" customHeight="1">
      <x:c r="A48" s="19" t="str">
        <x:v>CR043</x:v>
      </x:c>
      <x:c r="B48" s="19" t="str">
        <x:v>C05</x:v>
      </x:c>
      <x:c r="C48" s="19" t="str">
        <x:v>credentialing</x:v>
      </x:c>
      <x:c r="D48" s="19" t="str">
        <x:v>Fingerprint/background screening and subsequent-arrest review required unless specifically waived.</x:v>
      </x:c>
      <x:c r="E48" s="19" t="str">
        <x:v>Track customer waiver and verified clearance separately.</x:v>
      </x:c>
      <x:c r="F48" s="19" t="str">
        <x:v>Credentialing / HR</x:v>
      </x:c>
      <x:c r="G48" s="19" t="str">
        <x:v>PDF p11
18(b)</x:v>
      </x:c>
      <x:c r="H48" s="24" t="str">
        <x:v>Rule CR043</x:v>
      </x:c>
    </x:row>
    <x:row r="49" ht="54.75" customHeight="1">
      <x:c r="A49" s="20" t="str">
        <x:v>CR044</x:v>
      </x:c>
      <x:c r="B49" s="20" t="str">
        <x:v>C05</x:v>
      </x:c>
      <x:c r="C49" s="20" t="str">
        <x:v>incident quality</x:v>
      </x:c>
      <x:c r="D49" s="20" t="str">
        <x:v>Significant incidents: email within 12 hours; required reports within one business day.
Parameters: {"initial_notice_hours":12,"formal_report_business_days":1}</x:v>
      </x:c>
      <x:c r="E49" s="20" t="str">
        <x:v>Escalate urgent case and track reporting clock.</x:v>
      </x:c>
      <x:c r="F49" s="20" t="str">
        <x:v>Incident lead / client representative</x:v>
      </x:c>
      <x:c r="G49" s="20" t="str">
        <x:v>PDF p11
19(a)</x:v>
      </x:c>
      <x:c r="H49" s="25" t="str">
        <x:v>Rule CR044</x:v>
      </x:c>
    </x:row>
    <x:row r="50" ht="43.5" customHeight="1">
      <x:c r="A50" s="19" t="str">
        <x:v>CR045</x:v>
      </x:c>
      <x:c r="B50" s="19" t="str">
        <x:v>C05</x:v>
      </x:c>
      <x:c r="C50" s="19" t="str">
        <x:v>termination</x:v>
      </x:c>
      <x:c r="D50" s="19" t="str">
        <x:v>District convenience termination requires 30 days written notice.
Parameters: {"notice_days":30}</x:v>
      </x:c>
      <x:c r="E50" s="19" t="str">
        <x:v>Prepare authorized handover and final billing.</x:v>
      </x:c>
      <x:c r="F50" s="19" t="str">
        <x:v>Contract operations</x:v>
      </x:c>
      <x:c r="G50" s="19" t="str">
        <x:v>PDF p5
6(a)</x:v>
      </x:c>
      <x:c r="H50" s="24" t="str">
        <x:v>Rule CR045</x:v>
      </x:c>
    </x:row>
    <x:row r="51" ht="43.5" customHeight="1">
      <x:c r="A51" s="20" t="str">
        <x:v>CR046</x:v>
      </x:c>
      <x:c r="B51" s="20" t="str">
        <x:v>C05</x:v>
      </x:c>
      <x:c r="C51" s="20" t="str">
        <x:v>scope</x:v>
      </x:c>
      <x:c r="D51" s="20" t="str">
        <x:v>Scope includes lead-mitigation coordination and wider district operations support.</x:v>
      </x:c>
      <x:c r="E51" s="20" t="str">
        <x:v>Keep service-specific delivery tasks distinct from staffing administration.</x:v>
      </x:c>
      <x:c r="F51" s="20" t="str">
        <x:v>Contract operations</x:v>
      </x:c>
      <x:c r="G51" s="20" t="str">
        <x:v>PDF p18
Exhibit A services</x:v>
      </x:c>
      <x:c r="H51" s="25" t="str">
        <x:v>Rule CR046</x:v>
      </x:c>
    </x:row>
    <x:row r="52" ht="54.75" customHeight="1">
      <x:c r="A52" s="19" t="str">
        <x:v>CR047</x:v>
      </x:c>
      <x:c r="B52" s="19" t="str">
        <x:v>C06</x:v>
      </x:c>
      <x:c r="C52" s="19" t="str">
        <x:v>candidate approval</x:v>
      </x:c>
      <x:c r="D52" s="19" t="str">
        <x:v>County interview/review within five business days; assignment signature within two business days.
Parameters: {"review_business_days":5,"signature_business_days":2}</x:v>
      </x:c>
      <x:c r="E52" s="19" t="str">
        <x:v>Track acceptance and signed assignment before start.</x:v>
      </x:c>
      <x:c r="F52" s="19" t="str">
        <x:v>Client authorized representative</x:v>
      </x:c>
      <x:c r="G52" s="19" t="str">
        <x:v>PDF p12
Exhibit A B</x:v>
      </x:c>
      <x:c r="H52" s="24" t="str">
        <x:v>Rule CR047</x:v>
      </x:c>
    </x:row>
    <x:row r="53" ht="43.5" customHeight="1">
      <x:c r="A53" s="20" t="str">
        <x:v>CR048</x:v>
      </x:c>
      <x:c r="B53" s="20" t="str">
        <x:v>C06</x:v>
      </x:c>
      <x:c r="C53" s="20" t="str">
        <x:v>credentialing</x:v>
      </x:c>
      <x:c r="D53" s="20" t="str">
        <x:v>Prestart credentials include licensing, OIG, fingerprinting, skills, references, TB and requested health checks.</x:v>
      </x:c>
      <x:c r="E53" s="20" t="str">
        <x:v>Maintain dated evidence and clinical clearance gate.</x:v>
      </x:c>
      <x:c r="F53" s="20" t="str">
        <x:v>Credentialing / clinical owner</x:v>
      </x:c>
      <x:c r="G53" s="20" t="str">
        <x:v>PDF p13
Exhibit A E3-E4; p14 continuation</x:v>
      </x:c>
      <x:c r="H53" s="25" t="str">
        <x:v>Rule CR048</x:v>
      </x:c>
    </x:row>
    <x:row r="54" ht="43.5" customHeight="1">
      <x:c r="A54" s="19" t="str">
        <x:v>CR049</x:v>
      </x:c>
      <x:c r="B54" s="19" t="str">
        <x:v>C06</x:v>
      </x:c>
      <x:c r="C54" s="19" t="str">
        <x:v>cancellation</x:v>
      </x:c>
      <x:c r="D54" s="19" t="str">
        <x:v>Cancellation under two hours bills two hours per scheduled worker.
Parameters: {"notice_threshold_hours":2,"charge_hours":2}</x:v>
      </x:c>
      <x:c r="E54" s="19" t="str">
        <x:v>Timestamp customer notice and notify scheduled worker.</x:v>
      </x:c>
      <x:c r="F54" s="19" t="str">
        <x:v>Contract operations</x:v>
      </x:c>
      <x:c r="G54" s="19" t="str">
        <x:v>PDF p14
Exhibit A F4</x:v>
      </x:c>
      <x:c r="H54" s="24" t="str">
        <x:v>Rule CR049</x:v>
      </x:c>
    </x:row>
    <x:row r="55" ht="54.75" customHeight="1">
      <x:c r="A55" s="20" t="str">
        <x:v>CR050</x:v>
      </x:c>
      <x:c r="B55" s="20" t="str">
        <x:v>C06</x:v>
      </x:c>
      <x:c r="C55" s="20" t="str">
        <x:v>conversion</x:v>
      </x:c>
      <x:c r="D55" s="20" t="str">
        <x:v>Conversion schedule overrides general fee; 140–280-hour row contains no valid percentage.
Parameters: {"ambiguous_band_hours":[140,280],"calculation_allowed":false}</x:v>
      </x:c>
      <x:c r="E55" s="20" t="str">
        <x:v>Reject fee calculation until contract owner clarifies defective band and boundaries.</x:v>
      </x:c>
      <x:c r="F55" s="20" t="str">
        <x:v>Contracts counsel</x:v>
      </x:c>
      <x:c r="G55" s="20" t="str">
        <x:v>PDF p15
Exhibit A F6-F7</x:v>
      </x:c>
      <x:c r="H55" s="25" t="str">
        <x:v>Rule CR050</x:v>
      </x:c>
    </x:row>
    <x:row r="56" ht="77.25" customHeight="1">
      <x:c r="A56" s="19" t="str">
        <x:v>CR051</x:v>
      </x:c>
      <x:c r="B56" s="19" t="str">
        <x:v>C06</x:v>
      </x:c>
      <x:c r="C56" s="19" t="str">
        <x:v>invoice payment</x:v>
      </x:c>
      <x:c r="D56" s="19" t="str">
        <x:v>Weekly invoices; satisfactory invoice processing completed within 30 days of presentation; include contract, signer, worker/site/time/rate.
Parameters: {"frequency":"weekly","processing_completion_days_from_invoice_presentation":30,"invoice_satisfactory_required":true}</x:v>
      </x:c>
      <x:c r="E56" s="19" t="str">
        <x:v>Validate invoice satisfaction, signer and rate version; track processing completion from invoice presentation. Do not treat this as guaranteed cash settlement or reset the clock to a later approval event.</x:v>
      </x:c>
      <x:c r="F56" s="19" t="str">
        <x:v>Contract operations</x:v>
      </x:c>
      <x:c r="G56" s="19" t="str">
        <x:v>PDF p17
Exhibit B C-D</x:v>
      </x:c>
      <x:c r="H56" s="24" t="str">
        <x:v>Rule CR051</x:v>
      </x:c>
    </x:row>
    <x:row r="57" ht="43.5" customHeight="1">
      <x:c r="A57" s="20" t="str">
        <x:v>CR052</x:v>
      </x:c>
      <x:c r="B57" s="20" t="str">
        <x:v>C06</x:v>
      </x:c>
      <x:c r="C57" s="20" t="str">
        <x:v>pricing</x:v>
      </x:c>
      <x:c r="D57" s="20" t="str">
        <x:v>County-accepted assignment rates can exceed schedule; total authorization remains $300,000.
Parameters: {"maximum_obligation_USD":300000}</x:v>
      </x:c>
      <x:c r="E57" s="20" t="str">
        <x:v>Require accepted assignment override and budget availability.</x:v>
      </x:c>
      <x:c r="F57" s="20" t="str">
        <x:v>Contract operations</x:v>
      </x:c>
      <x:c r="G57" s="20" t="str">
        <x:v>PDF p17
Exhibit B B</x:v>
      </x:c>
      <x:c r="H57" s="25" t="str">
        <x:v>Rule CR052</x:v>
      </x:c>
    </x:row>
    <x:row r="58" ht="77.25" customHeight="1">
      <x:c r="A58" s="19" t="str">
        <x:v>CR053</x:v>
      </x:c>
      <x:c r="B58" s="19" t="str">
        <x:v>C06</x:v>
      </x:c>
      <x:c r="C58" s="19" t="str">
        <x:v>overtime</x:v>
      </x:c>
      <x:c r="D58" s="19" t="str">
        <x:v>Customer overtime billing requires supervisory approval; generally over 40 weekly hours at 1.5× the regular bill rate, subject to state law.
Parameters: {"weekly_threshold_hours":40,"multiplier":1.5,"rate_semantics":"customer billing charges; not worker wage or compensation rules"}</x:v>
      </x:c>
      <x:c r="E58" s="19" t="str">
        <x:v>Validate customer billing authorization and applicable contract calculation. Missing client overtime approval must not suppress worker pay; evaluate compensation independently using the applicable worker/pay model.</x:v>
      </x:c>
      <x:c r="F58" s="19" t="str">
        <x:v>Client supervisor / billing contract owner</x:v>
      </x:c>
      <x:c r="G58" s="19" t="str">
        <x:v>PDF p18
Exhibit B-1</x:v>
      </x:c>
      <x:c r="H58" s="24" t="str">
        <x:v>Rule CR053</x:v>
      </x:c>
    </x:row>
    <x:row r="59" ht="77.25" customHeight="1">
      <x:c r="A59" s="20" t="str">
        <x:v>CR054</x:v>
      </x:c>
      <x:c r="B59" s="20" t="str">
        <x:v>C06</x:v>
      </x:c>
      <x:c r="C59" s="20" t="str">
        <x:v>holiday</x:v>
      </x:c>
      <x:c r="D59" s="20" t="str">
        <x:v>Customer holiday billing uses 1.5× the bill rate for twelve entries, including partial Christmas/New Year’s Eve periods.
Parameters: {"multiplier":1.5,"holiday_entries":12,"eve_start_literal":"3 PM","rate_semantics":"customer billing charges; not worker wage or compensation rules"}</x:v>
      </x:c>
      <x:c r="E59" s="20" t="str">
        <x:v>Resolve the billing clause’s 11pm window and 3pm eve exceptions before activation. Worker holiday compensation is determined independently of these customer charges.</x:v>
      </x:c>
      <x:c r="F59" s="20" t="str">
        <x:v>Billing contract owner</x:v>
      </x:c>
      <x:c r="G59" s="20" t="str">
        <x:v>PDF p18
Exhibit B-1</x:v>
      </x:c>
      <x:c r="H59" s="25" t="str">
        <x:v>Rule CR054</x:v>
      </x:c>
    </x:row>
    <x:row r="60" ht="33.75" customHeight="1">
      <x:c r="A60" s="19" t="str">
        <x:v>CR055</x:v>
      </x:c>
      <x:c r="B60" s="19" t="str">
        <x:v>C06</x:v>
      </x:c>
      <x:c r="C60" s="19" t="str">
        <x:v>incident quality</x:v>
      </x:c>
      <x:c r="D60" s="19" t="str">
        <x:v>County reports unexpected personnel-related incidents; complaints route to local representative.</x:v>
      </x:c>
      <x:c r="E60" s="19" t="str">
        <x:v>Classify and route incident, retain chronology.</x:v>
      </x:c>
      <x:c r="F60" s="19" t="str">
        <x:v>Clinical quality / local representative</x:v>
      </x:c>
      <x:c r="G60" s="19" t="str">
        <x:v>PDF p16
Exhibit A F11</x:v>
      </x:c>
      <x:c r="H60" s="24" t="str">
        <x:v>Rule CR055</x:v>
      </x:c>
    </x:row>
    <x:row r="61" ht="33.75" customHeight="1">
      <x:c r="A61" s="20" t="str">
        <x:v>CR056</x:v>
      </x:c>
      <x:c r="B61" s="20" t="str">
        <x:v>C06</x:v>
      </x:c>
      <x:c r="C61" s="20" t="str">
        <x:v>subcontractor</x:v>
      </x:c>
      <x:c r="D61" s="20" t="str">
        <x:v>Subcontracting requires county prior written consent.</x:v>
      </x:c>
      <x:c r="E61" s="20" t="str">
        <x:v>Require signed consent for supplier changes.</x:v>
      </x:c>
      <x:c r="F61" s="20" t="str">
        <x:v>Contract operations</x:v>
      </x:c>
      <x:c r="G61" s="20" t="str">
        <x:v>PDF p6
18</x:v>
      </x:c>
      <x:c r="H61" s="25" t="str">
        <x:v>Rule CR056</x:v>
      </x:c>
    </x:row>
    <x:row r="62" ht="33.75" customHeight="1">
      <x:c r="A62" s="19" t="str">
        <x:v>CR057</x:v>
      </x:c>
      <x:c r="B62" s="19" t="str">
        <x:v>C06</x:v>
      </x:c>
      <x:c r="C62" s="19" t="str">
        <x:v>classification</x:v>
      </x:c>
      <x:c r="D62" s="19" t="str">
        <x:v>SOW labels referred personnel independent contractors; verify model before payroll design.</x:v>
      </x:c>
      <x:c r="E62" s="19" t="str">
        <x:v>Block unsupported worker-classification assumptions.</x:v>
      </x:c>
      <x:c r="F62" s="19" t="str">
        <x:v>HR / contracts counsel</x:v>
      </x:c>
      <x:c r="G62" s="19" t="str">
        <x:v>PDF p12
Exhibit A D</x:v>
      </x:c>
      <x:c r="H62" s="24" t="str">
        <x:v>Rule CR057</x:v>
      </x:c>
    </x:row>
    <x:row r="63">
      <x:c r="A63" s="2"/>
      <x:c r="B63" s="2"/>
      <x:c r="C63" s="2"/>
      <x:c r="D63" s="2"/>
      <x:c r="E63" s="2"/>
      <x:c r="F63" s="2"/>
      <x:c r="G63" s="2"/>
      <x:c r="H63" s="2"/>
    </x:row>
  </x:sheetData>
  <x:pageMargins left="0.7" right="0.7" top="0.75" bottom="0.75" header="0.3" footer="0.3"/>
  <x:legacyDrawing xmlns:r="http://schemas.openxmlformats.org/officeDocument/2006/relationships" r:id="R4f94f24a61724ffc"/>
  <x:tableParts count="1">
    <x:tablePart xmlns:r="http://schemas.openxmlformats.org/officeDocument/2006/relationships" r:id="R19309edf34cf478c"/>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7.329999923706055" hidden="0" customWidth="1"/>
    <x:col min="2" max="2" width="27.219999313354492" hidden="0" customWidth="1"/>
    <x:col min="3" max="3" width="52.220001220703125" hidden="0" customWidth="1"/>
    <x:col min="4" max="4" width="10.5600004196167" hidden="0" customWidth="1"/>
    <x:col min="5" max="5" width="10.5600004196167" hidden="0" customWidth="1"/>
    <x:col min="6" max="6" width="25.559999465942383" hidden="0" customWidth="1"/>
    <x:col min="7" max="7" width="10.5600004196167" hidden="0" customWidth="1"/>
    <x:col min="8" max="8" width="12.779999732971191" hidden="0" customWidth="1"/>
  </x:cols>
  <x:sheetData>
    <x:row r="1" ht="12" customHeight="1">
      <x:c r="A1" s="2"/>
      <x:c r="B1" s="2"/>
      <x:c r="C1" s="2"/>
      <x:c r="D1" s="2"/>
      <x:c r="E1" s="2"/>
      <x:c r="F1" s="2"/>
      <x:c r="G1" s="2"/>
      <x:c r="H1" s="2"/>
    </x:row>
    <x:row r="2" ht="22.5" customHeight="1">
      <x:c r="A2" s="3" t="str">
        <x:v>Public contract catalog</x:v>
      </x:c>
      <x:c r="B2" s="2"/>
      <x:c r="C2" s="2"/>
      <x:c r="D2" s="2"/>
      <x:c r="E2" s="2"/>
      <x:c r="F2" s="2"/>
      <x:c r="G2" s="2"/>
      <x:c r="H2" s="2"/>
    </x:row>
    <x:row r="3" ht="20.25" customHeight="1">
      <x:c r="A3" s="5" t="str">
        <x:v>Optional extensions are not assumed; ceilings are not realized spending. Source cells retain full document URLs in Excel notes.</x:v>
      </x:c>
      <x:c r="B3" s="6"/>
      <x:c r="C3" s="6"/>
      <x:c r="D3" s="6"/>
      <x:c r="E3" s="6"/>
      <x:c r="F3" s="6"/>
      <x:c r="G3" s="6"/>
      <x:c r="H3" s="6"/>
    </x:row>
    <x:row r="4">
      <x:c r="A4" s="2"/>
      <x:c r="B4" s="2"/>
      <x:c r="C4" s="2"/>
      <x:c r="D4" s="2"/>
      <x:c r="E4" s="2"/>
      <x:c r="F4" s="2"/>
      <x:c r="G4" s="2"/>
      <x:c r="H4" s="2"/>
    </x:row>
    <x:row r="5" ht="27" customHeight="1">
      <x:c r="A5" s="15" t="str">
        <x:v>Contract ID</x:v>
      </x:c>
      <x:c r="B5" s="16" t="str">
        <x:v>Customer and document</x:v>
      </x:c>
      <x:c r="C5" s="16" t="str">
        <x:v>Scope and term notes</x:v>
      </x:c>
      <x:c r="D5" s="16" t="str">
        <x:v>Term starts</x:v>
      </x:c>
      <x:c r="E5" s="16" t="str">
        <x:v>Term ends</x:v>
      </x:c>
      <x:c r="F5" s="16" t="str">
        <x:v>Status as of 10/20/26</x:v>
      </x:c>
      <x:c r="G5" s="16" t="str">
        <x:v>Source date</x:v>
      </x:c>
      <x:c r="H5" s="17" t="str">
        <x:v>Source</x:v>
      </x:c>
    </x:row>
    <x:row r="6" ht="66" customHeight="1">
      <x:c r="A6" s="19" t="str">
        <x:v>C01</x:v>
      </x:c>
      <x:c r="B6" s="19" t="str">
        <x:v>Sourcewell and participating entities
Cooperative master 061324-AMH</x:v>
      </x:c>
      <x:c r="C6" s="19" t="str">
        <x:v>Cooperative staffing/services procurement
Up to three one-year extensions; proposal submitted June 13, 2024. No guaranteed purchases. Current catalog independently lists maturity October 24, 2028. Effective date supported by El Dorado executed SOW p45; master signature text encoding is imperfect.</x:v>
      </x:c>
      <x:c r="D6" s="30" t="d">
        <x:v>2024-11-01T12:00:00.000Z</x:v>
      </x:c>
      <x:c r="E6" s="30" t="d">
        <x:v>2028-10-24T12:00:00.000Z</x:v>
      </x:c>
      <x:c r="F6" s="19" t="str">
        <x:v>within published initial term
public primary document</x:v>
      </x:c>
      <x:c r="G6" s="30" t="d">
        <x:v>2024-11-01T12:00:00.000Z</x:v>
      </x:c>
      <x:c r="H6" s="24" t="str">
        <x:v>C01 document</x:v>
      </x:c>
    </x:row>
    <x:row r="7" ht="66" customHeight="1">
      <x:c r="A7" s="20" t="str">
        <x:v>C02</x:v>
      </x:c>
      <x:c r="B7" s="20" t="str">
        <x:v>County of El Dorado, HHSA Behavioral Health
Executed agreement 10386: Sourcewell addendum/SOW</x:v>
      </x:c>
      <x:c r="C7" s="20" t="str">
        <x:v>As-needed behavioral-health staffing; two listed county offices
Executed SOW starts p45; preceding p1-44 reproduce Sourcewell master/proposal. Up to three optional years at $1M/year; $5.6M all-option ceiling, not committed spending. SOW controls conflicts for its services.</x:v>
      </x:c>
      <x:c r="D7" s="31" t="d">
        <x:v>2026-08-25T12:00:00.000Z</x:v>
      </x:c>
      <x:c r="E7" s="31" t="d">
        <x:v>2028-10-24T12:00:00.000Z</x:v>
      </x:c>
      <x:c r="F7" s="20" t="str">
        <x:v>within executed initial term
public primary document</x:v>
      </x:c>
      <x:c r="G7" s="31" t="d">
        <x:v>2026-08-25T12:00:00.000Z</x:v>
      </x:c>
      <x:c r="H7" s="25" t="str">
        <x:v>C02 document</x:v>
      </x:c>
    </x:row>
    <x:row r="8" ht="54.75" customHeight="1">
      <x:c r="A8" s="19" t="str">
        <x:v>C03</x:v>
      </x:c>
      <x:c r="B8" s="19" t="str">
        <x:v>Knox County Government / Knox County Schools
Contract 25-287(b), RFP 3635 packet</x:v>
      </x:c>
      <x:c r="C8" s="19" t="str">
        <x:v>Supplemental school staffing
Contract, RFP/addenda, supplier proposal, BAA and clarifications combined. Execution and renewal not independently confirmed. Distinguish customer requirements from supplier-proposed process.</x:v>
      </x:c>
      <x:c r="D8" s="30" t="d">
        <x:v>2025-07-01T12:00:00.000Z</x:v>
      </x:c>
      <x:c r="E8" s="30" t="d">
        <x:v>2026-06-30T12:00:00.000Z</x:v>
      </x:c>
      <x:c r="F8" s="19" t="str">
        <x:v>published initial term expired
public primary document</x:v>
      </x:c>
      <x:c r="G8" s="30" t="d">
        <x:v>2025-06-04T12:00:00.000Z</x:v>
      </x:c>
      <x:c r="H8" s="24" t="str">
        <x:v>C03 document</x:v>
      </x:c>
    </x:row>
    <x:row r="9" ht="66" customHeight="1">
      <x:c r="A9" s="20" t="str">
        <x:v>C04</x:v>
      </x:c>
      <x:c r="B9" s="20" t="str">
        <x:v>Rockford Public Schools District 205
Professional services agreement and school staffing SOW</x:v>
      </x:c>
      <x:c r="C9" s="20" t="str">
        <x:v>School health, special education and related services
Two optional one-year renewals exist; exercise not established. DocuSign-labelled public agreement; full execution not independently confirmed. Agreement precedes SOW and screening attachment in conflict hierarchy.</x:v>
      </x:c>
      <x:c r="D9" s="31" t="d">
        <x:v>2025-07-01T12:00:00.000Z</x:v>
      </x:c>
      <x:c r="E9" s="31" t="d">
        <x:v>2026-06-30T12:00:00.000Z</x:v>
      </x:c>
      <x:c r="F9" s="20" t="str">
        <x:v>initial term expired options unverified
public primary document</x:v>
      </x:c>
      <x:c r="G9" s="31" t="d">
        <x:v>2025-06-18T12:00:00.000Z</x:v>
      </x:c>
      <x:c r="H9" s="25" t="str">
        <x:v>C04 document</x:v>
      </x:c>
    </x:row>
    <x:row r="10" ht="54.75" customHeight="1">
      <x:c r="A10" s="19" t="str">
        <x:v>C05</x:v>
      </x:c>
      <x:c r="B10" s="19" t="str">
        <x:v>Oakland Unified School District
Services agreement 2025-2026, file 25-1901</x:v>
      </x:c>
      <x:c r="C10" s="19" t="str">
        <x:v>Lead testing/mitigation coordination and district operations support
Board approved August 27; signature page records district dates August 29, 2025. Not a conventional nursing-staffing scope.</x:v>
      </x:c>
      <x:c r="D10" s="30" t="d">
        <x:v>2025-07-01T12:00:00.000Z</x:v>
      </x:c>
      <x:c r="E10" s="30" t="d">
        <x:v>2026-06-30T12:00:00.000Z</x:v>
      </x:c>
      <x:c r="F10" s="19" t="str">
        <x:v>expired agreement
public primary document</x:v>
      </x:c>
      <x:c r="G10" s="30" t="d">
        <x:v>2025-08-27T12:00:00.000Z</x:v>
      </x:c>
      <x:c r="H10" s="24" t="str">
        <x:v>C05 document</x:v>
      </x:c>
    </x:row>
    <x:row r="11" ht="54.75" customHeight="1">
      <x:c r="A11" s="20" t="str">
        <x:v>C06</x:v>
      </x:c>
      <x:c r="B11" s="20" t="str">
        <x:v>County of Santa Barbara Health Department
Executed professional services agreement, file 26-00832</x:v>
      </x:c>
      <x:c r="C11" s="20" t="str">
        <x:v>Temporary clinical and nonclinical health staffing
Executed document contains defective conversion-fee table row and potentially material personnel-classification language; preserve these as exceptions for contract-owner review.</x:v>
      </x:c>
      <x:c r="D11" s="31" t="d">
        <x:v>2026-09-01T12:00:00.000Z</x:v>
      </x:c>
      <x:c r="E11" s="31" t="d">
        <x:v>2027-06-30T12:00:00.000Z</x:v>
      </x:c>
      <x:c r="F11" s="20" t="str">
        <x:v>within executed term
public primary document</x:v>
      </x:c>
      <x:c r="G11" s="31" t="d">
        <x:v>2026-09-15T12:00:00.000Z</x:v>
      </x:c>
      <x:c r="H11" s="25" t="str">
        <x:v>C06 document</x:v>
      </x:c>
    </x:row>
    <x:row r="12">
      <x:c r="A12" s="2"/>
      <x:c r="B12" s="2"/>
      <x:c r="C12" s="2"/>
      <x:c r="D12" s="2"/>
      <x:c r="E12" s="2"/>
      <x:c r="F12" s="2"/>
      <x:c r="G12" s="2"/>
      <x:c r="H12" s="2"/>
    </x:row>
  </x:sheetData>
  <x:pageMargins left="0.7" right="0.7" top="0.75" bottom="0.75" header="0.3" footer="0.3"/>
  <x:legacyDrawing xmlns:r="http://schemas.openxmlformats.org/officeDocument/2006/relationships" r:id="R341af54069e74fac"/>
  <x:tableParts count="1">
    <x:tablePart xmlns:r="http://schemas.openxmlformats.org/officeDocument/2006/relationships" r:id="Re14eba849424484b"/>
  </x:tableParts>
</x:worksheet>
</file>